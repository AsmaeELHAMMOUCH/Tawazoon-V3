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elhammouch\simulateur-rh-V2\docs\"/>
    </mc:Choice>
  </mc:AlternateContent>
  <xr:revisionPtr revIDLastSave="0" documentId="13_ncr:20001_{9C4AFCA3-8E51-49FF-ACC0-6FB41C6E88F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RAMS" sheetId="1" r:id="rId1"/>
    <sheet name="INPUT_VOLUMES" sheetId="2" r:id="rId2"/>
    <sheet name="Feuil1" sheetId="7" r:id="rId3"/>
    <sheet name="CENTRE_TEST" sheetId="3" r:id="rId4"/>
    <sheet name="POSTE_SUMMARY" sheetId="8" r:id="rId5"/>
    <sheet name="code" sheetId="4" r:id="rId6"/>
    <sheet name="SIMULATION_CALC" sheetId="5" r:id="rId7"/>
    <sheet name="SUMMARY" sheetId="6" r:id="rId8"/>
  </sheets>
  <externalReferences>
    <externalReference r:id="rId9"/>
    <externalReference r:id="rId10"/>
  </externalReferences>
  <definedNames>
    <definedName name="_xlnm._FilterDatabase" localSheetId="3" hidden="1">CENTRE_TEST!$A$1:$M$91</definedName>
    <definedName name="_xlnm._FilterDatabase" localSheetId="5" hidden="1">code!$A$1:$D$13</definedName>
    <definedName name="_xlnm._FilterDatabase" localSheetId="6" hidden="1">SIMULATION_CALC!$A$1:$P$70</definedName>
  </definedNames>
  <calcPr calcId="191029"/>
  <fileRecoveryPr repairLoad="1"/>
</workbook>
</file>

<file path=xl/calcChain.xml><?xml version="1.0" encoding="utf-8"?>
<calcChain xmlns="http://schemas.openxmlformats.org/spreadsheetml/2006/main">
  <c r="D4" i="8" l="1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3" i="5"/>
  <c r="N55" i="5"/>
  <c r="N57" i="5"/>
  <c r="N60" i="5"/>
  <c r="N66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15" i="3"/>
  <c r="I61" i="5"/>
  <c r="I60" i="5"/>
  <c r="I59" i="5"/>
  <c r="G61" i="5"/>
  <c r="G60" i="5"/>
  <c r="G59" i="5"/>
  <c r="B2" i="8"/>
  <c r="B3" i="8"/>
  <c r="B4" i="8"/>
  <c r="B5" i="8"/>
  <c r="B6" i="8"/>
  <c r="I29" i="5"/>
  <c r="F24" i="3"/>
  <c r="G24" i="5"/>
  <c r="G2" i="5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29" i="3"/>
  <c r="F28" i="3"/>
  <c r="F27" i="3"/>
  <c r="F26" i="3"/>
  <c r="F25" i="3"/>
  <c r="F23" i="3"/>
  <c r="F22" i="3"/>
  <c r="F21" i="3"/>
  <c r="F20" i="3"/>
  <c r="F19" i="3"/>
  <c r="F18" i="3"/>
  <c r="F17" i="3"/>
  <c r="F16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5" i="5"/>
  <c r="G26" i="5"/>
  <c r="G27" i="5"/>
  <c r="G28" i="5"/>
  <c r="G62" i="5"/>
  <c r="G63" i="5"/>
  <c r="G64" i="5"/>
  <c r="G65" i="5"/>
  <c r="G66" i="5"/>
  <c r="G67" i="5"/>
  <c r="G68" i="5"/>
  <c r="G69" i="5"/>
  <c r="G70" i="5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N65" i="5" s="1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3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2" i="2"/>
  <c r="I70" i="5"/>
  <c r="I69" i="5"/>
  <c r="I68" i="5"/>
  <c r="I67" i="5"/>
  <c r="I66" i="5"/>
  <c r="I65" i="5"/>
  <c r="I64" i="5"/>
  <c r="I63" i="5"/>
  <c r="H63" i="5"/>
  <c r="I62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D3" i="8" l="1"/>
  <c r="D2" i="8"/>
  <c r="B3" i="6"/>
  <c r="B4" i="6"/>
  <c r="D5" i="8"/>
  <c r="N56" i="5"/>
  <c r="N64" i="5"/>
  <c r="N63" i="5"/>
  <c r="N54" i="5"/>
  <c r="N70" i="5"/>
  <c r="N62" i="5"/>
  <c r="N69" i="5"/>
  <c r="N61" i="5"/>
  <c r="N68" i="5"/>
  <c r="N67" i="5"/>
  <c r="N59" i="5"/>
  <c r="N58" i="5"/>
  <c r="K18" i="5"/>
  <c r="K20" i="5"/>
  <c r="L20" i="5" s="1"/>
  <c r="M20" i="5" s="1"/>
  <c r="K19" i="5"/>
  <c r="K17" i="5"/>
  <c r="L17" i="5" s="1"/>
  <c r="M17" i="5" s="1"/>
  <c r="K16" i="5"/>
  <c r="L16" i="5" s="1"/>
  <c r="M16" i="5" s="1"/>
  <c r="K15" i="5"/>
  <c r="L15" i="5" s="1"/>
  <c r="M15" i="5" s="1"/>
  <c r="K22" i="5"/>
  <c r="L22" i="5" s="1"/>
  <c r="M22" i="5" s="1"/>
  <c r="K21" i="5"/>
  <c r="L21" i="5" s="1"/>
  <c r="M21" i="5" s="1"/>
  <c r="N22" i="5"/>
  <c r="N14" i="5"/>
  <c r="N6" i="5"/>
  <c r="N21" i="5"/>
  <c r="N20" i="5"/>
  <c r="N12" i="5"/>
  <c r="N4" i="5"/>
  <c r="N19" i="5"/>
  <c r="N11" i="5"/>
  <c r="N3" i="5"/>
  <c r="N5" i="5"/>
  <c r="N18" i="5"/>
  <c r="N10" i="5"/>
  <c r="N17" i="5"/>
  <c r="N9" i="5"/>
  <c r="N16" i="5"/>
  <c r="N8" i="5"/>
  <c r="N13" i="5"/>
  <c r="N15" i="5"/>
  <c r="N7" i="5"/>
  <c r="N23" i="5"/>
  <c r="K36" i="5"/>
  <c r="L36" i="5" s="1"/>
  <c r="M36" i="5" s="1"/>
  <c r="K44" i="5"/>
  <c r="L44" i="5" s="1"/>
  <c r="M44" i="5" s="1"/>
  <c r="J48" i="5"/>
  <c r="K40" i="5"/>
  <c r="L40" i="5" s="1"/>
  <c r="M40" i="5" s="1"/>
  <c r="K32" i="5"/>
  <c r="L32" i="5" s="1"/>
  <c r="M32" i="5" s="1"/>
  <c r="K55" i="5"/>
  <c r="L55" i="5" s="1"/>
  <c r="M55" i="5" s="1"/>
  <c r="J65" i="5"/>
  <c r="K34" i="5"/>
  <c r="L34" i="5" s="1"/>
  <c r="M34" i="5" s="1"/>
  <c r="K38" i="5"/>
  <c r="L38" i="5" s="1"/>
  <c r="M38" i="5" s="1"/>
  <c r="J42" i="5"/>
  <c r="K46" i="5"/>
  <c r="L46" i="5" s="1"/>
  <c r="M46" i="5" s="1"/>
  <c r="K50" i="5"/>
  <c r="L50" i="5" s="1"/>
  <c r="M50" i="5" s="1"/>
  <c r="K53" i="5"/>
  <c r="L53" i="5" s="1"/>
  <c r="M53" i="5" s="1"/>
  <c r="J57" i="5"/>
  <c r="K61" i="5"/>
  <c r="L61" i="5" s="1"/>
  <c r="M61" i="5" s="1"/>
  <c r="K67" i="5"/>
  <c r="L67" i="5" s="1"/>
  <c r="M67" i="5" s="1"/>
  <c r="K68" i="5"/>
  <c r="L68" i="5" s="1"/>
  <c r="M68" i="5" s="1"/>
  <c r="K70" i="5"/>
  <c r="L70" i="5" s="1"/>
  <c r="M70" i="5" s="1"/>
  <c r="K59" i="5"/>
  <c r="L59" i="5" s="1"/>
  <c r="M59" i="5" s="1"/>
  <c r="K3" i="5"/>
  <c r="L3" i="5" s="1"/>
  <c r="M3" i="5" s="1"/>
  <c r="K7" i="5"/>
  <c r="L7" i="5" s="1"/>
  <c r="M7" i="5" s="1"/>
  <c r="K11" i="5"/>
  <c r="L11" i="5" s="1"/>
  <c r="M11" i="5" s="1"/>
  <c r="O11" i="5" s="1"/>
  <c r="L19" i="5"/>
  <c r="M19" i="5" s="1"/>
  <c r="K23" i="5"/>
  <c r="L23" i="5" s="1"/>
  <c r="M23" i="5" s="1"/>
  <c r="O23" i="5" s="1"/>
  <c r="K27" i="5"/>
  <c r="L27" i="5" s="1"/>
  <c r="M27" i="5" s="1"/>
  <c r="K31" i="5"/>
  <c r="L31" i="5" s="1"/>
  <c r="M31" i="5" s="1"/>
  <c r="K35" i="5"/>
  <c r="L35" i="5" s="1"/>
  <c r="M35" i="5" s="1"/>
  <c r="J39" i="5"/>
  <c r="J56" i="5"/>
  <c r="K43" i="5"/>
  <c r="L43" i="5" s="1"/>
  <c r="M43" i="5" s="1"/>
  <c r="K47" i="5"/>
  <c r="L47" i="5" s="1"/>
  <c r="M47" i="5" s="1"/>
  <c r="K54" i="5"/>
  <c r="L54" i="5" s="1"/>
  <c r="M54" i="5" s="1"/>
  <c r="K5" i="5"/>
  <c r="L5" i="5" s="1"/>
  <c r="M5" i="5" s="1"/>
  <c r="O5" i="5" s="1"/>
  <c r="K9" i="5"/>
  <c r="L9" i="5" s="1"/>
  <c r="M9" i="5" s="1"/>
  <c r="O9" i="5" s="1"/>
  <c r="K13" i="5"/>
  <c r="L13" i="5" s="1"/>
  <c r="M13" i="5" s="1"/>
  <c r="K25" i="5"/>
  <c r="L25" i="5" s="1"/>
  <c r="M25" i="5" s="1"/>
  <c r="K29" i="5"/>
  <c r="L29" i="5" s="1"/>
  <c r="M29" i="5" s="1"/>
  <c r="K64" i="5"/>
  <c r="L64" i="5" s="1"/>
  <c r="M64" i="5" s="1"/>
  <c r="K4" i="5"/>
  <c r="L4" i="5" s="1"/>
  <c r="M4" i="5" s="1"/>
  <c r="K8" i="5"/>
  <c r="L8" i="5" s="1"/>
  <c r="M8" i="5" s="1"/>
  <c r="O8" i="5" s="1"/>
  <c r="K12" i="5"/>
  <c r="L12" i="5" s="1"/>
  <c r="M12" i="5" s="1"/>
  <c r="O12" i="5" s="1"/>
  <c r="K24" i="5"/>
  <c r="L24" i="5" s="1"/>
  <c r="M24" i="5" s="1"/>
  <c r="K28" i="5"/>
  <c r="L28" i="5" s="1"/>
  <c r="M28" i="5" s="1"/>
  <c r="K51" i="5"/>
  <c r="L51" i="5" s="1"/>
  <c r="M51" i="5" s="1"/>
  <c r="J58" i="5"/>
  <c r="K62" i="5"/>
  <c r="L62" i="5" s="1"/>
  <c r="M62" i="5" s="1"/>
  <c r="K65" i="5"/>
  <c r="L65" i="5" s="1"/>
  <c r="M65" i="5" s="1"/>
  <c r="J31" i="5"/>
  <c r="J50" i="5"/>
  <c r="K63" i="5"/>
  <c r="L63" i="5" s="1"/>
  <c r="M63" i="5" s="1"/>
  <c r="J33" i="5"/>
  <c r="K37" i="5"/>
  <c r="L37" i="5" s="1"/>
  <c r="M37" i="5" s="1"/>
  <c r="J41" i="5"/>
  <c r="K45" i="5"/>
  <c r="L45" i="5" s="1"/>
  <c r="M45" i="5" s="1"/>
  <c r="J49" i="5"/>
  <c r="K52" i="5"/>
  <c r="L52" i="5" s="1"/>
  <c r="M52" i="5" s="1"/>
  <c r="K56" i="5"/>
  <c r="L56" i="5" s="1"/>
  <c r="M56" i="5" s="1"/>
  <c r="K66" i="5"/>
  <c r="L66" i="5" s="1"/>
  <c r="M66" i="5" s="1"/>
  <c r="K2" i="5"/>
  <c r="L2" i="5" s="1"/>
  <c r="K6" i="5"/>
  <c r="L6" i="5" s="1"/>
  <c r="M6" i="5" s="1"/>
  <c r="K10" i="5"/>
  <c r="L10" i="5" s="1"/>
  <c r="M10" i="5" s="1"/>
  <c r="K14" i="5"/>
  <c r="L14" i="5" s="1"/>
  <c r="M14" i="5" s="1"/>
  <c r="O14" i="5" s="1"/>
  <c r="L18" i="5"/>
  <c r="M18" i="5" s="1"/>
  <c r="O18" i="5" s="1"/>
  <c r="K26" i="5"/>
  <c r="L26" i="5" s="1"/>
  <c r="M26" i="5" s="1"/>
  <c r="K30" i="5"/>
  <c r="L30" i="5" s="1"/>
  <c r="M30" i="5" s="1"/>
  <c r="K60" i="5"/>
  <c r="L60" i="5" s="1"/>
  <c r="M60" i="5" s="1"/>
  <c r="J66" i="5"/>
  <c r="K69" i="5"/>
  <c r="L69" i="5" s="1"/>
  <c r="M69" i="5" s="1"/>
  <c r="J34" i="5"/>
  <c r="J40" i="5"/>
  <c r="J26" i="5"/>
  <c r="J18" i="5"/>
  <c r="J10" i="5"/>
  <c r="K58" i="5"/>
  <c r="L58" i="5" s="1"/>
  <c r="M58" i="5" s="1"/>
  <c r="K42" i="5"/>
  <c r="L42" i="5" s="1"/>
  <c r="M42" i="5" s="1"/>
  <c r="J2" i="5"/>
  <c r="J25" i="5"/>
  <c r="J17" i="5"/>
  <c r="J9" i="5"/>
  <c r="K57" i="5"/>
  <c r="L57" i="5" s="1"/>
  <c r="M57" i="5" s="1"/>
  <c r="K49" i="5"/>
  <c r="L49" i="5" s="1"/>
  <c r="M49" i="5" s="1"/>
  <c r="K41" i="5"/>
  <c r="L41" i="5" s="1"/>
  <c r="M41" i="5" s="1"/>
  <c r="K33" i="5"/>
  <c r="L33" i="5" s="1"/>
  <c r="M33" i="5" s="1"/>
  <c r="J55" i="5"/>
  <c r="J32" i="5"/>
  <c r="J64" i="5"/>
  <c r="J24" i="5"/>
  <c r="J16" i="5"/>
  <c r="J8" i="5"/>
  <c r="K48" i="5"/>
  <c r="L48" i="5" s="1"/>
  <c r="M48" i="5" s="1"/>
  <c r="J47" i="5"/>
  <c r="J23" i="5"/>
  <c r="J15" i="5"/>
  <c r="J7" i="5"/>
  <c r="K39" i="5"/>
  <c r="L39" i="5" s="1"/>
  <c r="M39" i="5" s="1"/>
  <c r="J22" i="5"/>
  <c r="J14" i="5"/>
  <c r="J6" i="5"/>
  <c r="J21" i="5"/>
  <c r="J13" i="5"/>
  <c r="J5" i="5"/>
  <c r="J28" i="5"/>
  <c r="J20" i="5"/>
  <c r="J12" i="5"/>
  <c r="J4" i="5"/>
  <c r="J63" i="5"/>
  <c r="J27" i="5"/>
  <c r="J19" i="5"/>
  <c r="J11" i="5"/>
  <c r="J3" i="5"/>
  <c r="J70" i="5"/>
  <c r="J62" i="5"/>
  <c r="J54" i="5"/>
  <c r="J46" i="5"/>
  <c r="J38" i="5"/>
  <c r="J30" i="5"/>
  <c r="J69" i="5"/>
  <c r="J61" i="5"/>
  <c r="J53" i="5"/>
  <c r="J45" i="5"/>
  <c r="J37" i="5"/>
  <c r="J29" i="5"/>
  <c r="J68" i="5"/>
  <c r="J60" i="5"/>
  <c r="J52" i="5"/>
  <c r="J44" i="5"/>
  <c r="J36" i="5"/>
  <c r="J67" i="5"/>
  <c r="J59" i="5"/>
  <c r="J51" i="5"/>
  <c r="J43" i="5"/>
  <c r="J35" i="5"/>
  <c r="N2" i="5"/>
  <c r="O33" i="5" l="1"/>
  <c r="O28" i="5"/>
  <c r="O13" i="5"/>
  <c r="O46" i="5"/>
  <c r="O21" i="5"/>
  <c r="O30" i="5"/>
  <c r="O3" i="5"/>
  <c r="O10" i="5"/>
  <c r="O42" i="5"/>
  <c r="O48" i="5"/>
  <c r="O41" i="5"/>
  <c r="O58" i="5"/>
  <c r="O60" i="5"/>
  <c r="O66" i="5"/>
  <c r="O24" i="5"/>
  <c r="O31" i="5"/>
  <c r="O70" i="5"/>
  <c r="O44" i="5"/>
  <c r="O22" i="5"/>
  <c r="O27" i="5"/>
  <c r="O68" i="5"/>
  <c r="O38" i="5"/>
  <c r="O36" i="5"/>
  <c r="O15" i="5"/>
  <c r="O39" i="5"/>
  <c r="O61" i="5"/>
  <c r="O17" i="5"/>
  <c r="O62" i="5"/>
  <c r="O64" i="5"/>
  <c r="O20" i="5"/>
  <c r="O63" i="5"/>
  <c r="O57" i="5"/>
  <c r="O26" i="5"/>
  <c r="O52" i="5"/>
  <c r="O54" i="5"/>
  <c r="O67" i="5"/>
  <c r="O34" i="5"/>
  <c r="O16" i="5"/>
  <c r="O56" i="5"/>
  <c r="O65" i="5"/>
  <c r="O45" i="5"/>
  <c r="O55" i="5"/>
  <c r="O35" i="5"/>
  <c r="O49" i="5"/>
  <c r="O4" i="5"/>
  <c r="O43" i="5"/>
  <c r="O29" i="5"/>
  <c r="O7" i="5"/>
  <c r="O53" i="5"/>
  <c r="O32" i="5"/>
  <c r="O59" i="5"/>
  <c r="O47" i="5"/>
  <c r="O19" i="5"/>
  <c r="O69" i="5"/>
  <c r="O6" i="5"/>
  <c r="O37" i="5"/>
  <c r="O51" i="5"/>
  <c r="O25" i="5"/>
  <c r="O50" i="5"/>
  <c r="O40" i="5"/>
  <c r="C3" i="8"/>
  <c r="M2" i="5"/>
  <c r="C2" i="8" l="1"/>
  <c r="E2" i="8" s="1"/>
  <c r="C4" i="8"/>
  <c r="E4" i="8" s="1"/>
  <c r="F4" i="8" s="1"/>
  <c r="O2" i="5"/>
  <c r="C5" i="8" s="1"/>
  <c r="E5" i="8" s="1"/>
  <c r="F5" i="8" s="1"/>
  <c r="E3" i="8"/>
  <c r="F3" i="8" s="1"/>
  <c r="B2" i="6" l="1"/>
  <c r="B5" i="6" s="1"/>
  <c r="B6" i="6" s="1"/>
  <c r="C6" i="8"/>
  <c r="E6" i="8"/>
  <c r="F6" i="8" s="1"/>
  <c r="F2" i="8" l="1"/>
</calcChain>
</file>

<file path=xl/sharedStrings.xml><?xml version="1.0" encoding="utf-8"?>
<sst xmlns="http://schemas.openxmlformats.org/spreadsheetml/2006/main" count="1018" uniqueCount="148">
  <si>
    <t>Paramètre</t>
  </si>
  <si>
    <t>Valeur</t>
  </si>
  <si>
    <t>Description</t>
  </si>
  <si>
    <t>nb_jours_ouvres_an</t>
  </si>
  <si>
    <t>Nombre de jours ouvrés par an (conversion annuel -&gt; jour)</t>
  </si>
  <si>
    <t>heures_par_jour</t>
  </si>
  <si>
    <t>Heures de travail par jour</t>
  </si>
  <si>
    <t>idle_minutes</t>
  </si>
  <si>
    <t>Marge d'inactivité (minutes/jour)</t>
  </si>
  <si>
    <t>productivite_pct</t>
  </si>
  <si>
    <t>Productivité (%)</t>
  </si>
  <si>
    <t>colis_par_sac</t>
  </si>
  <si>
    <t>sens_code</t>
  </si>
  <si>
    <t>flux_code</t>
  </si>
  <si>
    <t>segment_code</t>
  </si>
  <si>
    <t>volume_annuel</t>
  </si>
  <si>
    <t>commentaire</t>
  </si>
  <si>
    <t>key</t>
  </si>
  <si>
    <t>ARRIVEE</t>
  </si>
  <si>
    <t>AMANA</t>
  </si>
  <si>
    <t>GLOBAL</t>
  </si>
  <si>
    <t>Saisie volume annuel</t>
  </si>
  <si>
    <t>PARTICULIER</t>
  </si>
  <si>
    <t>PRO_B2B</t>
  </si>
  <si>
    <t>DISTRIBUTION</t>
  </si>
  <si>
    <t>AXES</t>
  </si>
  <si>
    <t>CO</t>
  </si>
  <si>
    <t>CR</t>
  </si>
  <si>
    <t>EB</t>
  </si>
  <si>
    <t>LRH</t>
  </si>
  <si>
    <t>DEPART</t>
  </si>
  <si>
    <t>DEPOT</t>
  </si>
  <si>
    <t>Guichet dépôt (colis client)</t>
  </si>
  <si>
    <t>RECUP</t>
  </si>
  <si>
    <t>Guichet récupération (colis client)</t>
  </si>
  <si>
    <t>id_tache</t>
  </si>
  <si>
    <t>seq</t>
  </si>
  <si>
    <t>centre_poste_id</t>
  </si>
  <si>
    <t>sens_id</t>
  </si>
  <si>
    <t>unite_mesure(flux_code</t>
  </si>
  <si>
    <t>flux_id</t>
  </si>
  <si>
    <t>segment_id</t>
  </si>
  <si>
    <t>nom_tache</t>
  </si>
  <si>
    <t>moyenne_min</t>
  </si>
  <si>
    <t>Colis</t>
  </si>
  <si>
    <t>Déchargement VAN Colis</t>
  </si>
  <si>
    <t>Sac</t>
  </si>
  <si>
    <t>Déchargement VAN Sac</t>
  </si>
  <si>
    <t>Ouverture sac</t>
  </si>
  <si>
    <t>vidage sac</t>
  </si>
  <si>
    <t>Tri &amp; Répartition entre : PP, GP</t>
  </si>
  <si>
    <t>Scan &amp; Réception SI</t>
  </si>
  <si>
    <t>Enregistrement sur PART 125</t>
  </si>
  <si>
    <t>Affectation Guichet</t>
  </si>
  <si>
    <t>Remise avisés au guichet</t>
  </si>
  <si>
    <t>Préparatin fichier excel</t>
  </si>
  <si>
    <t>Scan et édition DNL</t>
  </si>
  <si>
    <t>Dépôt colis par le client</t>
  </si>
  <si>
    <t>Récupération colis par le client</t>
  </si>
  <si>
    <t>Etat Levée</t>
  </si>
  <si>
    <t>Récupération Physique colis</t>
  </si>
  <si>
    <t>Passation Vs Guichet</t>
  </si>
  <si>
    <t>NULL</t>
  </si>
  <si>
    <t>Réception</t>
  </si>
  <si>
    <t>Numérotage</t>
  </si>
  <si>
    <t>Mise en sac</t>
  </si>
  <si>
    <t>Expédition</t>
  </si>
  <si>
    <t>classement en cabine instance</t>
  </si>
  <si>
    <t>contrôle physique</t>
  </si>
  <si>
    <t>création dépeche</t>
  </si>
  <si>
    <t>Edition PART</t>
  </si>
  <si>
    <t>fermeture sac</t>
  </si>
  <si>
    <t>Chargement Camion Colis</t>
  </si>
  <si>
    <t>Chargement Camion Sac</t>
  </si>
  <si>
    <t>Courrier</t>
  </si>
  <si>
    <t>Réception courrier avisé sur  SI COM</t>
  </si>
  <si>
    <t>Courrier Recommandé</t>
  </si>
  <si>
    <t>Affectation : Avisé, Abonné, Vaguemaster …</t>
  </si>
  <si>
    <t>Notification envoi avisé client boite postale</t>
  </si>
  <si>
    <t>Déchargement VAN</t>
  </si>
  <si>
    <t>Tri Courrier</t>
  </si>
  <si>
    <t>Affectation au guichet</t>
  </si>
  <si>
    <t>Remise à l'agent Barid Pro</t>
  </si>
  <si>
    <t>Tri par administration</t>
  </si>
  <si>
    <t>Envoi Courrier Recommandé</t>
  </si>
  <si>
    <t>Récupération CR</t>
  </si>
  <si>
    <t>Dépôt CO</t>
  </si>
  <si>
    <t>Scan DNL et retour info</t>
  </si>
  <si>
    <t>Préparation &amp; mise en sac</t>
  </si>
  <si>
    <t>Remplissage Sac</t>
  </si>
  <si>
    <t>Chargement VAN</t>
  </si>
  <si>
    <t>Machine</t>
  </si>
  <si>
    <t>Démarrage Machine</t>
  </si>
  <si>
    <t>Mise en service</t>
  </si>
  <si>
    <t>Pesage Courrier</t>
  </si>
  <si>
    <t>Traitement sur la machine MAG (Affranchissement)</t>
  </si>
  <si>
    <t>Renseignement poids en manuel</t>
  </si>
  <si>
    <t>Saisie données sur SI COM</t>
  </si>
  <si>
    <t>Récupération facture MAG</t>
  </si>
  <si>
    <t>Passation sur Registre</t>
  </si>
  <si>
    <t>Etat des emballages</t>
  </si>
  <si>
    <t>Etat remis aux agents guichet</t>
  </si>
  <si>
    <t>Etat de la caisse</t>
  </si>
  <si>
    <t>BP Intélligente</t>
  </si>
  <si>
    <t>Suivi rélaisations commerciales</t>
  </si>
  <si>
    <t>Canevas HS</t>
  </si>
  <si>
    <t>Pointag intérimaires</t>
  </si>
  <si>
    <t>Suivi Gardiennage et femmes de ménage</t>
  </si>
  <si>
    <t>Suivi des absences</t>
  </si>
  <si>
    <t>Rapport Activité (Echantillonnage pour vérifer statut, poids, contact…</t>
  </si>
  <si>
    <t>id</t>
  </si>
  <si>
    <t>code</t>
  </si>
  <si>
    <t>libelle</t>
  </si>
  <si>
    <t>Global</t>
  </si>
  <si>
    <t>Particulier</t>
  </si>
  <si>
    <t>Pro - B2B</t>
  </si>
  <si>
    <t>Distribution</t>
  </si>
  <si>
    <t>Axes</t>
  </si>
  <si>
    <t>Arrivée</t>
  </si>
  <si>
    <t>Dépôt</t>
  </si>
  <si>
    <t>Récupération</t>
  </si>
  <si>
    <t>GUICHET</t>
  </si>
  <si>
    <t>Départ</t>
  </si>
  <si>
    <t>unite_mesure</t>
  </si>
  <si>
    <t>volume_annuel_input</t>
  </si>
  <si>
    <t>volume_jour</t>
  </si>
  <si>
    <t>volume_applique</t>
  </si>
  <si>
    <t>chrono_min</t>
  </si>
  <si>
    <t>heures</t>
  </si>
  <si>
    <t>Indicateur</t>
  </si>
  <si>
    <t>Total_heures_necessaires</t>
  </si>
  <si>
    <t>Heures_nettes_par_jour</t>
  </si>
  <si>
    <t>Heures_nettes_effectives</t>
  </si>
  <si>
    <t>ETP_calcule</t>
  </si>
  <si>
    <t>ETP_arrondi</t>
  </si>
  <si>
    <t xml:space="preserve"> sac = N colis </t>
  </si>
  <si>
    <t>poste_id</t>
  </si>
  <si>
    <t>label</t>
  </si>
  <si>
    <t>GUICHETIER</t>
  </si>
  <si>
    <t>TRIEUR</t>
  </si>
  <si>
    <t>CHEF DE CENTRE</t>
  </si>
  <si>
    <t>Agent opération</t>
  </si>
  <si>
    <t>POSTE</t>
  </si>
  <si>
    <t>total_heures_poste</t>
  </si>
  <si>
    <t>heures_nettes</t>
  </si>
  <si>
    <t>Centre_poste_id</t>
  </si>
  <si>
    <t>Enregistrement sur PART 125 sac</t>
  </si>
  <si>
    <t xml:space="preserve">Scan &amp; Réception SI courrier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</si>
</sst>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2" fontId="0" fillId="0" borderId="2" xfId="0" applyNumberForma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2" fontId="0" fillId="3" borderId="2" xfId="0" applyNumberFormat="1" applyFill="1" applyBorder="1" applyAlignment="1">
      <alignment vertical="center" wrapText="1"/>
    </xf>
    <xf numFmtId="2" fontId="0" fillId="0" borderId="2" xfId="0" applyNumberFormat="1" applyBorder="1" applyAlignment="1">
      <alignment vertical="center"/>
    </xf>
    <xf numFmtId="0" fontId="0" fillId="0" borderId="2" xfId="0" applyBorder="1"/>
    <xf numFmtId="0" fontId="3" fillId="4" borderId="2" xfId="0" applyFont="1" applyFill="1" applyBorder="1"/>
    <xf numFmtId="0" fontId="2" fillId="5" borderId="2" xfId="0" applyFont="1" applyFill="1" applyBorder="1"/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4" fontId="0" fillId="0" borderId="2" xfId="0" applyNumberFormat="1" applyBorder="1" applyAlignment="1">
      <alignment vertical="center" wrapText="1"/>
    </xf>
    <xf numFmtId="2" fontId="3" fillId="6" borderId="2" xfId="0" applyNumberFormat="1" applyFont="1" applyFill="1" applyBorder="1"/>
    <xf numFmtId="175" fontId="3" fillId="6" borderId="2" xfId="0" applyNumberFormat="1" applyFont="1" applyFill="1" applyBorder="1"/>
    <xf numFmtId="0" fontId="2" fillId="5" borderId="3" xfId="0" applyFont="1" applyFill="1" applyBorder="1"/>
    <xf numFmtId="0" fontId="0" fillId="7" borderId="2" xfId="0" applyFill="1" applyBorder="1"/>
    <xf numFmtId="2" fontId="0" fillId="7" borderId="2" xfId="0" applyNumberFormat="1" applyFill="1" applyBorder="1"/>
    <xf numFmtId="175" fontId="0" fillId="7" borderId="2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CHE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F_POS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CH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_POS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pane ySplit="1" topLeftCell="A2" activePane="bottomLeft" state="frozen"/>
      <selection pane="bottomLeft" activeCell="B6" sqref="B6"/>
    </sheetView>
  </sheetViews>
  <sheetFormatPr baseColWidth="10" defaultColWidth="8.88671875" defaultRowHeight="14.4" x14ac:dyDescent="0.3"/>
  <cols>
    <col min="1" max="1" width="20" customWidth="1"/>
    <col min="2" max="2" width="16" customWidth="1"/>
    <col min="3" max="3" width="55" customWidth="1"/>
  </cols>
  <sheetData>
    <row r="1" spans="1:3" ht="24" customHeight="1" x14ac:dyDescent="0.3">
      <c r="A1" s="4" t="s">
        <v>0</v>
      </c>
      <c r="B1" s="4" t="s">
        <v>1</v>
      </c>
      <c r="C1" s="4" t="s">
        <v>2</v>
      </c>
    </row>
    <row r="2" spans="1:3" x14ac:dyDescent="0.3">
      <c r="A2" s="5" t="s">
        <v>3</v>
      </c>
      <c r="B2" s="6">
        <v>264</v>
      </c>
      <c r="C2" s="5" t="s">
        <v>4</v>
      </c>
    </row>
    <row r="3" spans="1:3" x14ac:dyDescent="0.3">
      <c r="A3" s="5" t="s">
        <v>5</v>
      </c>
      <c r="B3" s="6">
        <v>8</v>
      </c>
      <c r="C3" s="5" t="s">
        <v>6</v>
      </c>
    </row>
    <row r="4" spans="1:3" x14ac:dyDescent="0.3">
      <c r="A4" s="5" t="s">
        <v>7</v>
      </c>
      <c r="B4" s="6">
        <v>0</v>
      </c>
      <c r="C4" s="5" t="s">
        <v>8</v>
      </c>
    </row>
    <row r="5" spans="1:3" x14ac:dyDescent="0.3">
      <c r="A5" s="5" t="s">
        <v>9</v>
      </c>
      <c r="B5" s="6">
        <v>100</v>
      </c>
      <c r="C5" s="5" t="s">
        <v>10</v>
      </c>
    </row>
    <row r="6" spans="1:3" x14ac:dyDescent="0.3">
      <c r="A6" s="7" t="s">
        <v>11</v>
      </c>
      <c r="B6" s="8">
        <v>5</v>
      </c>
      <c r="C6" s="7" t="s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workbookViewId="0">
      <pane ySplit="1" topLeftCell="A2" activePane="bottomLeft" state="frozen"/>
      <selection pane="bottomLeft" activeCell="B20" sqref="B20"/>
    </sheetView>
  </sheetViews>
  <sheetFormatPr baseColWidth="10" defaultColWidth="8.88671875" defaultRowHeight="14.4" x14ac:dyDescent="0.3"/>
  <cols>
    <col min="1" max="2" width="12" customWidth="1"/>
    <col min="3" max="3" width="14" customWidth="1"/>
    <col min="4" max="4" width="15" customWidth="1"/>
    <col min="5" max="5" width="32" customWidth="1"/>
    <col min="6" max="6" width="33.44140625" customWidth="1"/>
  </cols>
  <sheetData>
    <row r="1" spans="1:6" ht="24" customHeight="1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3">
      <c r="A2" s="2" t="s">
        <v>18</v>
      </c>
      <c r="B2" s="2" t="s">
        <v>19</v>
      </c>
      <c r="C2" s="2" t="s">
        <v>20</v>
      </c>
      <c r="D2" s="3">
        <v>50000</v>
      </c>
      <c r="E2" s="2" t="s">
        <v>21</v>
      </c>
      <c r="F2" s="2" t="str">
        <f>UPPER(TRIM(SUBSTITUTE(A2," ",""))) &amp; "|" &amp;
 UPPER(TRIM(SUBSTITUTE(B2," ",""))) &amp; "|" &amp;
 UPPER(TRIM(SUBSTITUTE(C2," ","")))</f>
        <v>ARRIVEE|AMANA|GLOBAL</v>
      </c>
    </row>
    <row r="3" spans="1:6" ht="28.8" x14ac:dyDescent="0.3">
      <c r="A3" s="2" t="s">
        <v>18</v>
      </c>
      <c r="B3" s="2" t="s">
        <v>19</v>
      </c>
      <c r="C3" s="2" t="s">
        <v>22</v>
      </c>
      <c r="D3" s="3">
        <v>0</v>
      </c>
      <c r="E3" s="2" t="s">
        <v>21</v>
      </c>
      <c r="F3" s="2" t="str">
        <f t="shared" ref="F3:F53" si="0">UPPER(TRIM(SUBSTITUTE(A3," ",""))) &amp; "|" &amp;
 UPPER(TRIM(SUBSTITUTE(B3," ",""))) &amp; "|" &amp;
 UPPER(TRIM(SUBSTITUTE(C3," ","")))</f>
        <v>ARRIVEE|AMANA|PARTICULIER</v>
      </c>
    </row>
    <row r="4" spans="1:6" ht="28.8" x14ac:dyDescent="0.3">
      <c r="A4" s="2" t="s">
        <v>18</v>
      </c>
      <c r="B4" s="2" t="s">
        <v>19</v>
      </c>
      <c r="C4" s="2" t="s">
        <v>23</v>
      </c>
      <c r="D4" s="3">
        <v>0</v>
      </c>
      <c r="E4" s="2" t="s">
        <v>21</v>
      </c>
      <c r="F4" s="2" t="str">
        <f t="shared" si="0"/>
        <v>ARRIVEE|AMANA|PRO_B2B</v>
      </c>
    </row>
    <row r="5" spans="1:6" ht="28.8" x14ac:dyDescent="0.3">
      <c r="A5" s="2" t="s">
        <v>18</v>
      </c>
      <c r="B5" s="2" t="s">
        <v>19</v>
      </c>
      <c r="C5" s="2" t="s">
        <v>24</v>
      </c>
      <c r="D5" s="3">
        <v>0</v>
      </c>
      <c r="E5" s="2" t="s">
        <v>21</v>
      </c>
      <c r="F5" s="2" t="str">
        <f t="shared" si="0"/>
        <v>ARRIVEE|AMANA|DISTRIBUTION</v>
      </c>
    </row>
    <row r="6" spans="1:6" ht="28.8" x14ac:dyDescent="0.3">
      <c r="A6" s="2" t="s">
        <v>18</v>
      </c>
      <c r="B6" s="2" t="s">
        <v>19</v>
      </c>
      <c r="C6" s="2" t="s">
        <v>25</v>
      </c>
      <c r="D6" s="3">
        <v>0</v>
      </c>
      <c r="E6" s="2" t="s">
        <v>21</v>
      </c>
      <c r="F6" s="2" t="str">
        <f t="shared" si="0"/>
        <v>ARRIVEE|AMANA|AXES</v>
      </c>
    </row>
    <row r="7" spans="1:6" x14ac:dyDescent="0.3">
      <c r="A7" s="2" t="s">
        <v>18</v>
      </c>
      <c r="B7" s="2" t="s">
        <v>26</v>
      </c>
      <c r="C7" s="2" t="s">
        <v>20</v>
      </c>
      <c r="D7" s="3">
        <v>6000</v>
      </c>
      <c r="E7" s="2" t="s">
        <v>21</v>
      </c>
      <c r="F7" s="2" t="str">
        <f t="shared" si="0"/>
        <v>ARRIVEE|CO|GLOBAL</v>
      </c>
    </row>
    <row r="8" spans="1:6" ht="28.8" x14ac:dyDescent="0.3">
      <c r="A8" s="2" t="s">
        <v>18</v>
      </c>
      <c r="B8" s="2" t="s">
        <v>26</v>
      </c>
      <c r="C8" s="2" t="s">
        <v>22</v>
      </c>
      <c r="D8" s="3">
        <v>0</v>
      </c>
      <c r="E8" s="2" t="s">
        <v>21</v>
      </c>
      <c r="F8" s="2" t="str">
        <f t="shared" si="0"/>
        <v>ARRIVEE|CO|PARTICULIER</v>
      </c>
    </row>
    <row r="9" spans="1:6" ht="28.8" x14ac:dyDescent="0.3">
      <c r="A9" s="2" t="s">
        <v>18</v>
      </c>
      <c r="B9" s="2" t="s">
        <v>26</v>
      </c>
      <c r="C9" s="2" t="s">
        <v>23</v>
      </c>
      <c r="D9" s="3">
        <v>0</v>
      </c>
      <c r="E9" s="2" t="s">
        <v>21</v>
      </c>
      <c r="F9" s="2" t="str">
        <f t="shared" si="0"/>
        <v>ARRIVEE|CO|PRO_B2B</v>
      </c>
    </row>
    <row r="10" spans="1:6" ht="28.8" x14ac:dyDescent="0.3">
      <c r="A10" s="2" t="s">
        <v>18</v>
      </c>
      <c r="B10" s="2" t="s">
        <v>26</v>
      </c>
      <c r="C10" s="2" t="s">
        <v>24</v>
      </c>
      <c r="D10" s="3">
        <v>0</v>
      </c>
      <c r="E10" s="2" t="s">
        <v>21</v>
      </c>
      <c r="F10" s="2" t="str">
        <f t="shared" si="0"/>
        <v>ARRIVEE|CO|DISTRIBUTION</v>
      </c>
    </row>
    <row r="11" spans="1:6" ht="28.8" x14ac:dyDescent="0.3">
      <c r="A11" s="2" t="s">
        <v>18</v>
      </c>
      <c r="B11" s="2" t="s">
        <v>26</v>
      </c>
      <c r="C11" s="2" t="s">
        <v>25</v>
      </c>
      <c r="D11" s="3">
        <v>0</v>
      </c>
      <c r="E11" s="2" t="s">
        <v>21</v>
      </c>
      <c r="F11" s="2" t="str">
        <f t="shared" si="0"/>
        <v>ARRIVEE|CO|AXES</v>
      </c>
    </row>
    <row r="12" spans="1:6" ht="28.8" x14ac:dyDescent="0.3">
      <c r="A12" s="2" t="s">
        <v>18</v>
      </c>
      <c r="B12" s="2" t="s">
        <v>27</v>
      </c>
      <c r="C12" s="2" t="s">
        <v>20</v>
      </c>
      <c r="D12" s="3">
        <v>0</v>
      </c>
      <c r="E12" s="2" t="s">
        <v>21</v>
      </c>
      <c r="F12" s="2" t="str">
        <f t="shared" si="0"/>
        <v>ARRIVEE|CR|GLOBAL</v>
      </c>
    </row>
    <row r="13" spans="1:6" ht="28.8" x14ac:dyDescent="0.3">
      <c r="A13" s="2" t="s">
        <v>18</v>
      </c>
      <c r="B13" s="2" t="s">
        <v>27</v>
      </c>
      <c r="C13" s="2" t="s">
        <v>22</v>
      </c>
      <c r="D13" s="3">
        <v>0</v>
      </c>
      <c r="E13" s="2" t="s">
        <v>21</v>
      </c>
      <c r="F13" s="2" t="str">
        <f t="shared" si="0"/>
        <v>ARRIVEE|CR|PARTICULIER</v>
      </c>
    </row>
    <row r="14" spans="1:6" ht="28.8" x14ac:dyDescent="0.3">
      <c r="A14" s="2" t="s">
        <v>18</v>
      </c>
      <c r="B14" s="2" t="s">
        <v>27</v>
      </c>
      <c r="C14" s="2" t="s">
        <v>23</v>
      </c>
      <c r="D14" s="3">
        <v>0</v>
      </c>
      <c r="E14" s="2" t="s">
        <v>21</v>
      </c>
      <c r="F14" s="2" t="str">
        <f t="shared" si="0"/>
        <v>ARRIVEE|CR|PRO_B2B</v>
      </c>
    </row>
    <row r="15" spans="1:6" ht="28.8" x14ac:dyDescent="0.3">
      <c r="A15" s="2" t="s">
        <v>18</v>
      </c>
      <c r="B15" s="2" t="s">
        <v>27</v>
      </c>
      <c r="C15" s="2" t="s">
        <v>24</v>
      </c>
      <c r="D15" s="3">
        <v>0</v>
      </c>
      <c r="E15" s="2" t="s">
        <v>21</v>
      </c>
      <c r="F15" s="2" t="str">
        <f t="shared" si="0"/>
        <v>ARRIVEE|CR|DISTRIBUTION</v>
      </c>
    </row>
    <row r="16" spans="1:6" ht="28.8" x14ac:dyDescent="0.3">
      <c r="A16" s="2" t="s">
        <v>18</v>
      </c>
      <c r="B16" s="2" t="s">
        <v>27</v>
      </c>
      <c r="C16" s="2" t="s">
        <v>25</v>
      </c>
      <c r="D16" s="3">
        <v>0</v>
      </c>
      <c r="E16" s="2" t="s">
        <v>21</v>
      </c>
      <c r="F16" s="2" t="str">
        <f t="shared" si="0"/>
        <v>ARRIVEE|CR|AXES</v>
      </c>
    </row>
    <row r="17" spans="1:6" ht="28.8" x14ac:dyDescent="0.3">
      <c r="A17" s="2" t="s">
        <v>18</v>
      </c>
      <c r="B17" s="2" t="s">
        <v>28</v>
      </c>
      <c r="C17" s="2" t="s">
        <v>20</v>
      </c>
      <c r="D17" s="3">
        <v>0</v>
      </c>
      <c r="E17" s="2" t="s">
        <v>21</v>
      </c>
      <c r="F17" s="2" t="str">
        <f t="shared" si="0"/>
        <v>ARRIVEE|EB|GLOBAL</v>
      </c>
    </row>
    <row r="18" spans="1:6" ht="28.8" x14ac:dyDescent="0.3">
      <c r="A18" s="2" t="s">
        <v>18</v>
      </c>
      <c r="B18" s="2" t="s">
        <v>28</v>
      </c>
      <c r="C18" s="2" t="s">
        <v>22</v>
      </c>
      <c r="D18" s="3">
        <v>0</v>
      </c>
      <c r="E18" s="2" t="s">
        <v>21</v>
      </c>
      <c r="F18" s="2" t="str">
        <f t="shared" si="0"/>
        <v>ARRIVEE|EB|PARTICULIER</v>
      </c>
    </row>
    <row r="19" spans="1:6" ht="28.8" x14ac:dyDescent="0.3">
      <c r="A19" s="2" t="s">
        <v>18</v>
      </c>
      <c r="B19" s="2" t="s">
        <v>28</v>
      </c>
      <c r="C19" s="2" t="s">
        <v>23</v>
      </c>
      <c r="D19" s="3">
        <v>0</v>
      </c>
      <c r="E19" s="2" t="s">
        <v>21</v>
      </c>
      <c r="F19" s="2" t="str">
        <f t="shared" si="0"/>
        <v>ARRIVEE|EB|PRO_B2B</v>
      </c>
    </row>
    <row r="20" spans="1:6" ht="28.8" x14ac:dyDescent="0.3">
      <c r="A20" s="2" t="s">
        <v>18</v>
      </c>
      <c r="B20" s="2" t="s">
        <v>28</v>
      </c>
      <c r="C20" s="2" t="s">
        <v>24</v>
      </c>
      <c r="D20" s="3">
        <v>0</v>
      </c>
      <c r="E20" s="2" t="s">
        <v>21</v>
      </c>
      <c r="F20" s="2" t="str">
        <f t="shared" si="0"/>
        <v>ARRIVEE|EB|DISTRIBUTION</v>
      </c>
    </row>
    <row r="21" spans="1:6" ht="28.8" x14ac:dyDescent="0.3">
      <c r="A21" s="2" t="s">
        <v>18</v>
      </c>
      <c r="B21" s="2" t="s">
        <v>28</v>
      </c>
      <c r="C21" s="2" t="s">
        <v>25</v>
      </c>
      <c r="D21" s="3">
        <v>0</v>
      </c>
      <c r="E21" s="2" t="s">
        <v>21</v>
      </c>
      <c r="F21" s="2" t="str">
        <f t="shared" si="0"/>
        <v>ARRIVEE|EB|AXES</v>
      </c>
    </row>
    <row r="22" spans="1:6" ht="28.8" x14ac:dyDescent="0.3">
      <c r="A22" s="2" t="s">
        <v>18</v>
      </c>
      <c r="B22" s="2" t="s">
        <v>29</v>
      </c>
      <c r="C22" s="2" t="s">
        <v>20</v>
      </c>
      <c r="D22" s="3">
        <v>0</v>
      </c>
      <c r="E22" s="2" t="s">
        <v>21</v>
      </c>
      <c r="F22" s="2" t="str">
        <f t="shared" si="0"/>
        <v>ARRIVEE|LRH|GLOBAL</v>
      </c>
    </row>
    <row r="23" spans="1:6" ht="28.8" x14ac:dyDescent="0.3">
      <c r="A23" s="2" t="s">
        <v>18</v>
      </c>
      <c r="B23" s="2" t="s">
        <v>29</v>
      </c>
      <c r="C23" s="2" t="s">
        <v>22</v>
      </c>
      <c r="D23" s="3">
        <v>0</v>
      </c>
      <c r="E23" s="2" t="s">
        <v>21</v>
      </c>
      <c r="F23" s="2" t="str">
        <f t="shared" si="0"/>
        <v>ARRIVEE|LRH|PARTICULIER</v>
      </c>
    </row>
    <row r="24" spans="1:6" ht="28.8" x14ac:dyDescent="0.3">
      <c r="A24" s="2" t="s">
        <v>18</v>
      </c>
      <c r="B24" s="2" t="s">
        <v>29</v>
      </c>
      <c r="C24" s="2" t="s">
        <v>23</v>
      </c>
      <c r="D24" s="3">
        <v>0</v>
      </c>
      <c r="E24" s="2" t="s">
        <v>21</v>
      </c>
      <c r="F24" s="2" t="str">
        <f t="shared" si="0"/>
        <v>ARRIVEE|LRH|PRO_B2B</v>
      </c>
    </row>
    <row r="25" spans="1:6" ht="28.8" x14ac:dyDescent="0.3">
      <c r="A25" s="2" t="s">
        <v>18</v>
      </c>
      <c r="B25" s="2" t="s">
        <v>29</v>
      </c>
      <c r="C25" s="2" t="s">
        <v>24</v>
      </c>
      <c r="D25" s="3">
        <v>0</v>
      </c>
      <c r="E25" s="2" t="s">
        <v>21</v>
      </c>
      <c r="F25" s="2" t="str">
        <f t="shared" si="0"/>
        <v>ARRIVEE|LRH|DISTRIBUTION</v>
      </c>
    </row>
    <row r="26" spans="1:6" ht="28.8" x14ac:dyDescent="0.3">
      <c r="A26" s="2" t="s">
        <v>18</v>
      </c>
      <c r="B26" s="2" t="s">
        <v>29</v>
      </c>
      <c r="C26" s="2" t="s">
        <v>25</v>
      </c>
      <c r="D26" s="3">
        <v>0</v>
      </c>
      <c r="E26" s="2" t="s">
        <v>21</v>
      </c>
      <c r="F26" s="2" t="str">
        <f t="shared" si="0"/>
        <v>ARRIVEE|LRH|AXES</v>
      </c>
    </row>
    <row r="27" spans="1:6" ht="28.8" x14ac:dyDescent="0.3">
      <c r="A27" s="2" t="s">
        <v>30</v>
      </c>
      <c r="B27" s="2" t="s">
        <v>19</v>
      </c>
      <c r="C27" s="2" t="s">
        <v>20</v>
      </c>
      <c r="D27" s="3">
        <v>0</v>
      </c>
      <c r="E27" s="2" t="s">
        <v>21</v>
      </c>
      <c r="F27" s="2" t="str">
        <f t="shared" si="0"/>
        <v>DEPART|AMANA|GLOBAL</v>
      </c>
    </row>
    <row r="28" spans="1:6" ht="28.8" x14ac:dyDescent="0.3">
      <c r="A28" s="2" t="s">
        <v>30</v>
      </c>
      <c r="B28" s="2" t="s">
        <v>19</v>
      </c>
      <c r="C28" s="2" t="s">
        <v>22</v>
      </c>
      <c r="D28" s="3">
        <v>0</v>
      </c>
      <c r="E28" s="2" t="s">
        <v>21</v>
      </c>
      <c r="F28" s="2" t="str">
        <f t="shared" si="0"/>
        <v>DEPART|AMANA|PARTICULIER</v>
      </c>
    </row>
    <row r="29" spans="1:6" ht="28.8" x14ac:dyDescent="0.3">
      <c r="A29" s="2" t="s">
        <v>30</v>
      </c>
      <c r="B29" s="2" t="s">
        <v>19</v>
      </c>
      <c r="C29" s="2" t="s">
        <v>23</v>
      </c>
      <c r="D29" s="3">
        <v>0</v>
      </c>
      <c r="E29" s="2" t="s">
        <v>21</v>
      </c>
      <c r="F29" s="2" t="str">
        <f t="shared" si="0"/>
        <v>DEPART|AMANA|PRO_B2B</v>
      </c>
    </row>
    <row r="30" spans="1:6" ht="28.8" x14ac:dyDescent="0.3">
      <c r="A30" s="2" t="s">
        <v>30</v>
      </c>
      <c r="B30" s="2" t="s">
        <v>19</v>
      </c>
      <c r="C30" s="2" t="s">
        <v>24</v>
      </c>
      <c r="D30" s="3">
        <v>0</v>
      </c>
      <c r="E30" s="2" t="s">
        <v>21</v>
      </c>
      <c r="F30" s="2" t="str">
        <f t="shared" si="0"/>
        <v>DEPART|AMANA|DISTRIBUTION</v>
      </c>
    </row>
    <row r="31" spans="1:6" ht="28.8" x14ac:dyDescent="0.3">
      <c r="A31" s="2" t="s">
        <v>30</v>
      </c>
      <c r="B31" s="2" t="s">
        <v>19</v>
      </c>
      <c r="C31" s="2" t="s">
        <v>25</v>
      </c>
      <c r="D31" s="3">
        <v>0</v>
      </c>
      <c r="E31" s="2" t="s">
        <v>21</v>
      </c>
      <c r="F31" s="2" t="str">
        <f t="shared" si="0"/>
        <v>DEPART|AMANA|AXES</v>
      </c>
    </row>
    <row r="32" spans="1:6" ht="28.8" x14ac:dyDescent="0.3">
      <c r="A32" s="2" t="s">
        <v>30</v>
      </c>
      <c r="B32" s="2" t="s">
        <v>26</v>
      </c>
      <c r="C32" s="2" t="s">
        <v>20</v>
      </c>
      <c r="D32" s="3">
        <v>0</v>
      </c>
      <c r="E32" s="2" t="s">
        <v>21</v>
      </c>
      <c r="F32" s="2" t="str">
        <f t="shared" si="0"/>
        <v>DEPART|CO|GLOBAL</v>
      </c>
    </row>
    <row r="33" spans="1:6" ht="28.8" x14ac:dyDescent="0.3">
      <c r="A33" s="2" t="s">
        <v>30</v>
      </c>
      <c r="B33" s="2" t="s">
        <v>26</v>
      </c>
      <c r="C33" s="2" t="s">
        <v>22</v>
      </c>
      <c r="D33" s="3">
        <v>0</v>
      </c>
      <c r="E33" s="2" t="s">
        <v>21</v>
      </c>
      <c r="F33" s="2" t="str">
        <f t="shared" si="0"/>
        <v>DEPART|CO|PARTICULIER</v>
      </c>
    </row>
    <row r="34" spans="1:6" ht="28.8" x14ac:dyDescent="0.3">
      <c r="A34" s="2" t="s">
        <v>30</v>
      </c>
      <c r="B34" s="2" t="s">
        <v>26</v>
      </c>
      <c r="C34" s="2" t="s">
        <v>23</v>
      </c>
      <c r="D34" s="3">
        <v>0</v>
      </c>
      <c r="E34" s="2" t="s">
        <v>21</v>
      </c>
      <c r="F34" s="2" t="str">
        <f t="shared" si="0"/>
        <v>DEPART|CO|PRO_B2B</v>
      </c>
    </row>
    <row r="35" spans="1:6" ht="28.8" x14ac:dyDescent="0.3">
      <c r="A35" s="2" t="s">
        <v>30</v>
      </c>
      <c r="B35" s="2" t="s">
        <v>26</v>
      </c>
      <c r="C35" s="2" t="s">
        <v>24</v>
      </c>
      <c r="D35" s="3">
        <v>50000</v>
      </c>
      <c r="E35" s="2" t="s">
        <v>21</v>
      </c>
      <c r="F35" s="2" t="str">
        <f>TRIM(SUBSTITUTE(SUBSTITUTE(A35&amp;"|"&amp;B35&amp;"|"&amp;C35,CHAR(10),""),CHAR(13),""))</f>
        <v>DEPART|CO|DISTRIBUTION</v>
      </c>
    </row>
    <row r="36" spans="1:6" ht="28.8" x14ac:dyDescent="0.3">
      <c r="A36" s="2" t="s">
        <v>30</v>
      </c>
      <c r="B36" s="2" t="s">
        <v>26</v>
      </c>
      <c r="C36" s="2" t="s">
        <v>25</v>
      </c>
      <c r="D36" s="3">
        <v>0</v>
      </c>
      <c r="E36" s="2" t="s">
        <v>21</v>
      </c>
      <c r="F36" s="2" t="str">
        <f t="shared" ref="F36:F53" si="1">TRIM(SUBSTITUTE(SUBSTITUTE(A36&amp;"|"&amp;B36&amp;"|"&amp;C36,CHAR(10),""),CHAR(13),""))</f>
        <v>DEPART|CO|AXES</v>
      </c>
    </row>
    <row r="37" spans="1:6" ht="28.8" x14ac:dyDescent="0.3">
      <c r="A37" s="2" t="s">
        <v>30</v>
      </c>
      <c r="B37" s="2" t="s">
        <v>27</v>
      </c>
      <c r="C37" s="2" t="s">
        <v>20</v>
      </c>
      <c r="D37" s="3">
        <v>0</v>
      </c>
      <c r="E37" s="2" t="s">
        <v>21</v>
      </c>
      <c r="F37" s="2" t="str">
        <f t="shared" si="1"/>
        <v>DEPART|CR|GLOBAL</v>
      </c>
    </row>
    <row r="38" spans="1:6" ht="28.8" x14ac:dyDescent="0.3">
      <c r="A38" s="2" t="s">
        <v>30</v>
      </c>
      <c r="B38" s="2" t="s">
        <v>27</v>
      </c>
      <c r="C38" s="2" t="s">
        <v>22</v>
      </c>
      <c r="D38" s="3">
        <v>0</v>
      </c>
      <c r="E38" s="2" t="s">
        <v>21</v>
      </c>
      <c r="F38" s="2" t="str">
        <f t="shared" si="1"/>
        <v>DEPART|CR|PARTICULIER</v>
      </c>
    </row>
    <row r="39" spans="1:6" ht="28.8" x14ac:dyDescent="0.3">
      <c r="A39" s="2" t="s">
        <v>30</v>
      </c>
      <c r="B39" s="2" t="s">
        <v>27</v>
      </c>
      <c r="C39" s="2" t="s">
        <v>23</v>
      </c>
      <c r="D39" s="3">
        <v>0</v>
      </c>
      <c r="E39" s="2" t="s">
        <v>21</v>
      </c>
      <c r="F39" s="2" t="str">
        <f t="shared" si="1"/>
        <v>DEPART|CR|PRO_B2B</v>
      </c>
    </row>
    <row r="40" spans="1:6" ht="28.8" x14ac:dyDescent="0.3">
      <c r="A40" s="2" t="s">
        <v>30</v>
      </c>
      <c r="B40" s="2" t="s">
        <v>27</v>
      </c>
      <c r="C40" s="2" t="s">
        <v>24</v>
      </c>
      <c r="D40" s="3">
        <v>0</v>
      </c>
      <c r="E40" s="2" t="s">
        <v>21</v>
      </c>
      <c r="F40" s="2" t="str">
        <f t="shared" si="1"/>
        <v>DEPART|CR|DISTRIBUTION</v>
      </c>
    </row>
    <row r="41" spans="1:6" ht="28.8" x14ac:dyDescent="0.3">
      <c r="A41" s="2" t="s">
        <v>30</v>
      </c>
      <c r="B41" s="2" t="s">
        <v>27</v>
      </c>
      <c r="C41" s="2" t="s">
        <v>25</v>
      </c>
      <c r="D41" s="3">
        <v>0</v>
      </c>
      <c r="E41" s="2" t="s">
        <v>21</v>
      </c>
      <c r="F41" s="2" t="str">
        <f t="shared" si="1"/>
        <v>DEPART|CR|AXES</v>
      </c>
    </row>
    <row r="42" spans="1:6" ht="28.8" x14ac:dyDescent="0.3">
      <c r="A42" s="2" t="s">
        <v>30</v>
      </c>
      <c r="B42" s="2" t="s">
        <v>28</v>
      </c>
      <c r="C42" s="2" t="s">
        <v>20</v>
      </c>
      <c r="D42" s="3">
        <v>0</v>
      </c>
      <c r="E42" s="2" t="s">
        <v>21</v>
      </c>
      <c r="F42" s="2" t="str">
        <f t="shared" si="1"/>
        <v>DEPART|EB|GLOBAL</v>
      </c>
    </row>
    <row r="43" spans="1:6" ht="28.8" x14ac:dyDescent="0.3">
      <c r="A43" s="2" t="s">
        <v>30</v>
      </c>
      <c r="B43" s="2" t="s">
        <v>28</v>
      </c>
      <c r="C43" s="2" t="s">
        <v>22</v>
      </c>
      <c r="D43" s="3">
        <v>0</v>
      </c>
      <c r="E43" s="2" t="s">
        <v>21</v>
      </c>
      <c r="F43" s="2" t="str">
        <f t="shared" si="1"/>
        <v>DEPART|EB|PARTICULIER</v>
      </c>
    </row>
    <row r="44" spans="1:6" ht="28.8" x14ac:dyDescent="0.3">
      <c r="A44" s="2" t="s">
        <v>30</v>
      </c>
      <c r="B44" s="2" t="s">
        <v>28</v>
      </c>
      <c r="C44" s="2" t="s">
        <v>23</v>
      </c>
      <c r="D44" s="3">
        <v>0</v>
      </c>
      <c r="E44" s="2" t="s">
        <v>21</v>
      </c>
      <c r="F44" s="2" t="str">
        <f t="shared" si="1"/>
        <v>DEPART|EB|PRO_B2B</v>
      </c>
    </row>
    <row r="45" spans="1:6" ht="28.8" x14ac:dyDescent="0.3">
      <c r="A45" s="2" t="s">
        <v>30</v>
      </c>
      <c r="B45" s="2" t="s">
        <v>28</v>
      </c>
      <c r="C45" s="2" t="s">
        <v>24</v>
      </c>
      <c r="D45" s="3">
        <v>0</v>
      </c>
      <c r="E45" s="2" t="s">
        <v>21</v>
      </c>
      <c r="F45" s="2" t="str">
        <f t="shared" si="1"/>
        <v>DEPART|EB|DISTRIBUTION</v>
      </c>
    </row>
    <row r="46" spans="1:6" ht="28.8" x14ac:dyDescent="0.3">
      <c r="A46" s="2" t="s">
        <v>30</v>
      </c>
      <c r="B46" s="2" t="s">
        <v>28</v>
      </c>
      <c r="C46" s="2" t="s">
        <v>25</v>
      </c>
      <c r="D46" s="3">
        <v>0</v>
      </c>
      <c r="E46" s="2" t="s">
        <v>21</v>
      </c>
      <c r="F46" s="2" t="str">
        <f t="shared" si="1"/>
        <v>DEPART|EB|AXES</v>
      </c>
    </row>
    <row r="47" spans="1:6" ht="28.8" x14ac:dyDescent="0.3">
      <c r="A47" s="2" t="s">
        <v>30</v>
      </c>
      <c r="B47" s="2" t="s">
        <v>29</v>
      </c>
      <c r="C47" s="2" t="s">
        <v>20</v>
      </c>
      <c r="D47" s="3">
        <v>0</v>
      </c>
      <c r="E47" s="2" t="s">
        <v>21</v>
      </c>
      <c r="F47" s="2" t="str">
        <f t="shared" si="1"/>
        <v>DEPART|LRH|GLOBAL</v>
      </c>
    </row>
    <row r="48" spans="1:6" ht="28.8" x14ac:dyDescent="0.3">
      <c r="A48" s="2" t="s">
        <v>30</v>
      </c>
      <c r="B48" s="2" t="s">
        <v>29</v>
      </c>
      <c r="C48" s="2" t="s">
        <v>22</v>
      </c>
      <c r="D48" s="3">
        <v>0</v>
      </c>
      <c r="E48" s="2" t="s">
        <v>21</v>
      </c>
      <c r="F48" s="2" t="str">
        <f t="shared" si="1"/>
        <v>DEPART|LRH|PARTICULIER</v>
      </c>
    </row>
    <row r="49" spans="1:6" ht="28.8" x14ac:dyDescent="0.3">
      <c r="A49" s="2" t="s">
        <v>30</v>
      </c>
      <c r="B49" s="2" t="s">
        <v>29</v>
      </c>
      <c r="C49" s="2" t="s">
        <v>23</v>
      </c>
      <c r="D49" s="3">
        <v>0</v>
      </c>
      <c r="E49" s="2" t="s">
        <v>21</v>
      </c>
      <c r="F49" s="2" t="str">
        <f t="shared" si="1"/>
        <v>DEPART|LRH|PRO_B2B</v>
      </c>
    </row>
    <row r="50" spans="1:6" ht="28.8" x14ac:dyDescent="0.3">
      <c r="A50" s="2" t="s">
        <v>30</v>
      </c>
      <c r="B50" s="2" t="s">
        <v>29</v>
      </c>
      <c r="C50" s="2" t="s">
        <v>24</v>
      </c>
      <c r="D50" s="3">
        <v>0</v>
      </c>
      <c r="E50" s="2" t="s">
        <v>21</v>
      </c>
      <c r="F50" s="2" t="str">
        <f t="shared" si="1"/>
        <v>DEPART|LRH|DISTRIBUTION</v>
      </c>
    </row>
    <row r="51" spans="1:6" ht="28.8" x14ac:dyDescent="0.3">
      <c r="A51" s="2" t="s">
        <v>30</v>
      </c>
      <c r="B51" s="2" t="s">
        <v>29</v>
      </c>
      <c r="C51" s="2" t="s">
        <v>25</v>
      </c>
      <c r="D51" s="3">
        <v>0</v>
      </c>
      <c r="E51" s="2" t="s">
        <v>21</v>
      </c>
      <c r="F51" s="2" t="str">
        <f t="shared" si="1"/>
        <v>DEPART|LRH|AXES</v>
      </c>
    </row>
    <row r="52" spans="1:6" ht="28.8" x14ac:dyDescent="0.3">
      <c r="A52" s="2" t="s">
        <v>31</v>
      </c>
      <c r="B52" s="2" t="s">
        <v>19</v>
      </c>
      <c r="C52" s="2" t="s">
        <v>22</v>
      </c>
      <c r="D52" s="3">
        <v>0</v>
      </c>
      <c r="E52" s="2" t="s">
        <v>32</v>
      </c>
      <c r="F52" s="2" t="str">
        <f t="shared" si="1"/>
        <v>DEPOT|AMANA|PARTICULIER</v>
      </c>
    </row>
    <row r="53" spans="1:6" ht="28.8" x14ac:dyDescent="0.3">
      <c r="A53" s="2" t="s">
        <v>33</v>
      </c>
      <c r="B53" s="2" t="s">
        <v>19</v>
      </c>
      <c r="C53" s="2" t="s">
        <v>22</v>
      </c>
      <c r="D53" s="3">
        <v>0</v>
      </c>
      <c r="E53" s="2" t="s">
        <v>34</v>
      </c>
      <c r="F53" s="2" t="str">
        <f t="shared" si="1"/>
        <v>RECUP|AMANA|PARTICULIER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52D5-585A-4DEA-A6E6-69E4F5043BA2}">
  <dimension ref="A1:J70"/>
  <sheetViews>
    <sheetView workbookViewId="0">
      <selection activeCell="I8" sqref="I8"/>
    </sheetView>
  </sheetViews>
  <sheetFormatPr baseColWidth="10" defaultRowHeight="14.4" x14ac:dyDescent="0.3"/>
  <cols>
    <col min="1" max="1" width="14.21875" bestFit="1" customWidth="1"/>
    <col min="3" max="3" width="13.21875" bestFit="1" customWidth="1"/>
    <col min="4" max="4" width="57.88671875" bestFit="1" customWidth="1"/>
    <col min="10" max="10" width="14.88671875" bestFit="1" customWidth="1"/>
  </cols>
  <sheetData>
    <row r="1" spans="1:10" x14ac:dyDescent="0.3">
      <c r="A1" s="11" t="s">
        <v>37</v>
      </c>
      <c r="B1" s="11" t="s">
        <v>36</v>
      </c>
      <c r="C1" s="11" t="s">
        <v>43</v>
      </c>
      <c r="D1" s="11" t="s">
        <v>42</v>
      </c>
      <c r="E1" s="11" t="s">
        <v>40</v>
      </c>
      <c r="F1" s="11" t="s">
        <v>38</v>
      </c>
      <c r="G1" s="11" t="s">
        <v>41</v>
      </c>
      <c r="H1" s="11" t="s">
        <v>110</v>
      </c>
      <c r="I1" s="11" t="s">
        <v>136</v>
      </c>
      <c r="J1" s="11" t="s">
        <v>137</v>
      </c>
    </row>
    <row r="2" spans="1:10" x14ac:dyDescent="0.3">
      <c r="A2" s="10">
        <v>8284</v>
      </c>
      <c r="B2" s="10">
        <v>12</v>
      </c>
      <c r="C2" s="10">
        <v>3.625</v>
      </c>
      <c r="D2" s="10" t="s">
        <v>57</v>
      </c>
      <c r="E2" s="10">
        <v>1</v>
      </c>
      <c r="F2" s="10">
        <v>2</v>
      </c>
      <c r="G2" s="10">
        <v>2</v>
      </c>
      <c r="H2" s="10">
        <v>8284</v>
      </c>
      <c r="I2" s="10">
        <v>151</v>
      </c>
      <c r="J2" s="10" t="s">
        <v>138</v>
      </c>
    </row>
    <row r="3" spans="1:10" x14ac:dyDescent="0.3">
      <c r="A3" s="10">
        <v>8284</v>
      </c>
      <c r="B3" s="10">
        <v>13</v>
      </c>
      <c r="C3" s="10">
        <v>4.3550000000000004</v>
      </c>
      <c r="D3" s="10" t="s">
        <v>58</v>
      </c>
      <c r="E3" s="10">
        <v>1</v>
      </c>
      <c r="F3" s="10">
        <v>3</v>
      </c>
      <c r="G3" s="10">
        <v>2</v>
      </c>
      <c r="H3" s="10">
        <v>8284</v>
      </c>
      <c r="I3" s="10">
        <v>151</v>
      </c>
      <c r="J3" s="10" t="s">
        <v>138</v>
      </c>
    </row>
    <row r="4" spans="1:10" x14ac:dyDescent="0.3">
      <c r="A4" s="10">
        <v>8284</v>
      </c>
      <c r="B4" s="10">
        <v>41</v>
      </c>
      <c r="C4" s="10">
        <v>0.20166666666666699</v>
      </c>
      <c r="D4" s="10" t="s">
        <v>83</v>
      </c>
      <c r="E4" s="10">
        <v>3</v>
      </c>
      <c r="F4" s="10">
        <v>1</v>
      </c>
      <c r="G4" s="10">
        <v>1</v>
      </c>
      <c r="H4" s="10">
        <v>8284</v>
      </c>
      <c r="I4" s="10">
        <v>151</v>
      </c>
      <c r="J4" s="10" t="s">
        <v>138</v>
      </c>
    </row>
    <row r="5" spans="1:10" x14ac:dyDescent="0.3">
      <c r="A5" s="10">
        <v>8284</v>
      </c>
      <c r="B5" s="10">
        <v>42</v>
      </c>
      <c r="C5" s="10">
        <v>0.64166666666666705</v>
      </c>
      <c r="D5" s="10" t="s">
        <v>84</v>
      </c>
      <c r="E5" s="10">
        <v>3</v>
      </c>
      <c r="F5" s="10">
        <v>4</v>
      </c>
      <c r="G5" s="10">
        <v>1</v>
      </c>
      <c r="H5" s="10">
        <v>8284</v>
      </c>
      <c r="I5" s="10">
        <v>151</v>
      </c>
      <c r="J5" s="10" t="s">
        <v>138</v>
      </c>
    </row>
    <row r="6" spans="1:10" x14ac:dyDescent="0.3">
      <c r="A6" s="10">
        <v>8284</v>
      </c>
      <c r="B6" s="10">
        <v>43</v>
      </c>
      <c r="C6" s="10">
        <v>0.58333333333333304</v>
      </c>
      <c r="D6" s="10" t="s">
        <v>85</v>
      </c>
      <c r="E6" s="10">
        <v>3</v>
      </c>
      <c r="F6" s="10">
        <v>3</v>
      </c>
      <c r="G6" s="10">
        <v>2</v>
      </c>
      <c r="H6" s="10">
        <v>8284</v>
      </c>
      <c r="I6" s="10">
        <v>151</v>
      </c>
      <c r="J6" s="10" t="s">
        <v>138</v>
      </c>
    </row>
    <row r="7" spans="1:10" x14ac:dyDescent="0.3">
      <c r="A7" s="10">
        <v>8284</v>
      </c>
      <c r="B7" s="10">
        <v>45</v>
      </c>
      <c r="C7" s="10" t="s">
        <v>62</v>
      </c>
      <c r="D7" s="10" t="s">
        <v>86</v>
      </c>
      <c r="E7" s="10">
        <v>2</v>
      </c>
      <c r="F7" s="10">
        <v>2</v>
      </c>
      <c r="G7" s="10">
        <v>2</v>
      </c>
      <c r="H7" s="10">
        <v>8284</v>
      </c>
      <c r="I7" s="10">
        <v>151</v>
      </c>
      <c r="J7" s="10" t="s">
        <v>138</v>
      </c>
    </row>
    <row r="8" spans="1:10" x14ac:dyDescent="0.3">
      <c r="A8" s="10">
        <v>8284</v>
      </c>
      <c r="B8" s="10">
        <v>46</v>
      </c>
      <c r="C8" s="10">
        <v>0.63333333333333297</v>
      </c>
      <c r="D8" s="10" t="s">
        <v>87</v>
      </c>
      <c r="E8" s="10">
        <v>2</v>
      </c>
      <c r="F8" s="10">
        <v>1</v>
      </c>
      <c r="G8" s="10">
        <v>1</v>
      </c>
      <c r="H8" s="10">
        <v>8284</v>
      </c>
      <c r="I8" s="10">
        <v>151</v>
      </c>
      <c r="J8" s="10" t="s">
        <v>138</v>
      </c>
    </row>
    <row r="9" spans="1:10" x14ac:dyDescent="0.3">
      <c r="A9" s="10">
        <v>8284</v>
      </c>
      <c r="B9" s="10">
        <v>60</v>
      </c>
      <c r="C9" s="10">
        <v>0.20499999999999999</v>
      </c>
      <c r="D9" s="10" t="s">
        <v>66</v>
      </c>
      <c r="E9" s="10">
        <v>2</v>
      </c>
      <c r="F9" s="10">
        <v>4</v>
      </c>
      <c r="G9" s="10">
        <v>2</v>
      </c>
      <c r="H9" s="10">
        <v>8284</v>
      </c>
      <c r="I9" s="10">
        <v>151</v>
      </c>
      <c r="J9" s="10" t="s">
        <v>138</v>
      </c>
    </row>
    <row r="10" spans="1:10" x14ac:dyDescent="0.3">
      <c r="A10" s="10">
        <v>8284</v>
      </c>
      <c r="B10" s="10">
        <v>61</v>
      </c>
      <c r="C10" s="10">
        <v>0.41166666666666701</v>
      </c>
      <c r="D10" s="10" t="s">
        <v>98</v>
      </c>
      <c r="E10" s="10">
        <v>2</v>
      </c>
      <c r="F10" s="10">
        <v>4</v>
      </c>
      <c r="G10" s="10">
        <v>2</v>
      </c>
      <c r="H10" s="10">
        <v>8284</v>
      </c>
      <c r="I10" s="10">
        <v>151</v>
      </c>
      <c r="J10" s="10" t="s">
        <v>138</v>
      </c>
    </row>
    <row r="11" spans="1:10" x14ac:dyDescent="0.3">
      <c r="A11" s="10">
        <v>8284</v>
      </c>
      <c r="B11" s="10">
        <v>62</v>
      </c>
      <c r="C11" s="10" t="s">
        <v>62</v>
      </c>
      <c r="D11" s="10" t="s">
        <v>99</v>
      </c>
      <c r="E11" s="10">
        <v>2</v>
      </c>
      <c r="F11" s="10">
        <v>4</v>
      </c>
      <c r="G11" s="10">
        <v>2</v>
      </c>
      <c r="H11" s="10">
        <v>8284</v>
      </c>
      <c r="I11" s="10">
        <v>151</v>
      </c>
      <c r="J11" s="10" t="s">
        <v>138</v>
      </c>
    </row>
    <row r="12" spans="1:10" x14ac:dyDescent="0.3">
      <c r="A12" s="10">
        <v>8284</v>
      </c>
      <c r="B12" s="10">
        <v>63</v>
      </c>
      <c r="C12" s="10">
        <v>0.19</v>
      </c>
      <c r="D12" s="10" t="s">
        <v>70</v>
      </c>
      <c r="E12" s="10">
        <v>2</v>
      </c>
      <c r="F12" s="10">
        <v>4</v>
      </c>
      <c r="G12" s="10">
        <v>2</v>
      </c>
      <c r="H12" s="10">
        <v>8284</v>
      </c>
      <c r="I12" s="10">
        <v>151</v>
      </c>
      <c r="J12" s="10" t="s">
        <v>138</v>
      </c>
    </row>
    <row r="13" spans="1:10" x14ac:dyDescent="0.3">
      <c r="A13" s="10">
        <v>8285</v>
      </c>
      <c r="B13" s="10">
        <v>5</v>
      </c>
      <c r="C13" s="10">
        <v>0.18</v>
      </c>
      <c r="D13" s="10" t="s">
        <v>50</v>
      </c>
      <c r="E13" s="10">
        <v>1</v>
      </c>
      <c r="F13" s="10">
        <v>1</v>
      </c>
      <c r="G13" s="10">
        <v>1</v>
      </c>
      <c r="H13" s="10">
        <v>8285</v>
      </c>
      <c r="I13" s="10">
        <v>169</v>
      </c>
      <c r="J13" s="10" t="s">
        <v>139</v>
      </c>
    </row>
    <row r="14" spans="1:10" x14ac:dyDescent="0.3">
      <c r="A14" s="10">
        <v>8285</v>
      </c>
      <c r="B14" s="10">
        <v>37</v>
      </c>
      <c r="C14" s="10" t="s">
        <v>62</v>
      </c>
      <c r="D14" s="10" t="s">
        <v>80</v>
      </c>
      <c r="E14" s="10">
        <v>3</v>
      </c>
      <c r="F14" s="10">
        <v>1</v>
      </c>
      <c r="G14" s="10">
        <v>1</v>
      </c>
      <c r="H14" s="10">
        <v>8285</v>
      </c>
      <c r="I14" s="10">
        <v>169</v>
      </c>
      <c r="J14" s="10" t="s">
        <v>139</v>
      </c>
    </row>
    <row r="15" spans="1:10" x14ac:dyDescent="0.3">
      <c r="A15" s="10">
        <v>8286</v>
      </c>
      <c r="B15" s="10">
        <v>71</v>
      </c>
      <c r="C15" s="10" t="s">
        <v>62</v>
      </c>
      <c r="D15" s="10" t="s">
        <v>102</v>
      </c>
      <c r="E15" s="10">
        <v>5</v>
      </c>
      <c r="F15" s="10">
        <v>1</v>
      </c>
      <c r="G15" s="10">
        <v>1</v>
      </c>
      <c r="H15" s="10">
        <v>8286</v>
      </c>
      <c r="I15" s="10">
        <v>55</v>
      </c>
      <c r="J15" s="10" t="s">
        <v>140</v>
      </c>
    </row>
    <row r="16" spans="1:10" x14ac:dyDescent="0.3">
      <c r="A16" s="10">
        <v>8286</v>
      </c>
      <c r="B16" s="10">
        <v>72</v>
      </c>
      <c r="C16" s="10">
        <v>5</v>
      </c>
      <c r="D16" s="10" t="s">
        <v>103</v>
      </c>
      <c r="E16" s="10">
        <v>5</v>
      </c>
      <c r="F16" s="10">
        <v>1</v>
      </c>
      <c r="G16" s="10">
        <v>1</v>
      </c>
      <c r="H16" s="10">
        <v>8286</v>
      </c>
      <c r="I16" s="10">
        <v>55</v>
      </c>
      <c r="J16" s="10" t="s">
        <v>140</v>
      </c>
    </row>
    <row r="17" spans="1:10" x14ac:dyDescent="0.3">
      <c r="A17" s="10">
        <v>8286</v>
      </c>
      <c r="B17" s="10">
        <v>73</v>
      </c>
      <c r="C17" s="10">
        <v>5</v>
      </c>
      <c r="D17" s="10" t="s">
        <v>104</v>
      </c>
      <c r="E17" s="10">
        <v>5</v>
      </c>
      <c r="F17" s="10">
        <v>1</v>
      </c>
      <c r="G17" s="10">
        <v>1</v>
      </c>
      <c r="H17" s="10">
        <v>8286</v>
      </c>
      <c r="I17" s="10">
        <v>55</v>
      </c>
      <c r="J17" s="10" t="s">
        <v>140</v>
      </c>
    </row>
    <row r="18" spans="1:10" x14ac:dyDescent="0.3">
      <c r="A18" s="10">
        <v>8286</v>
      </c>
      <c r="B18" s="10">
        <v>74</v>
      </c>
      <c r="C18" s="10" t="s">
        <v>62</v>
      </c>
      <c r="D18" s="10" t="s">
        <v>105</v>
      </c>
      <c r="E18" s="10">
        <v>5</v>
      </c>
      <c r="F18" s="10">
        <v>1</v>
      </c>
      <c r="G18" s="10">
        <v>1</v>
      </c>
      <c r="H18" s="10">
        <v>8286</v>
      </c>
      <c r="I18" s="10">
        <v>55</v>
      </c>
      <c r="J18" s="10" t="s">
        <v>140</v>
      </c>
    </row>
    <row r="19" spans="1:10" x14ac:dyDescent="0.3">
      <c r="A19" s="10">
        <v>8286</v>
      </c>
      <c r="B19" s="10">
        <v>75</v>
      </c>
      <c r="C19" s="10" t="s">
        <v>62</v>
      </c>
      <c r="D19" s="10" t="s">
        <v>106</v>
      </c>
      <c r="E19" s="10">
        <v>5</v>
      </c>
      <c r="F19" s="10">
        <v>1</v>
      </c>
      <c r="G19" s="10">
        <v>1</v>
      </c>
      <c r="H19" s="10">
        <v>8286</v>
      </c>
      <c r="I19" s="10">
        <v>55</v>
      </c>
      <c r="J19" s="10" t="s">
        <v>140</v>
      </c>
    </row>
    <row r="20" spans="1:10" x14ac:dyDescent="0.3">
      <c r="A20" s="10">
        <v>8286</v>
      </c>
      <c r="B20" s="10">
        <v>76</v>
      </c>
      <c r="C20" s="10" t="s">
        <v>62</v>
      </c>
      <c r="D20" s="10" t="s">
        <v>107</v>
      </c>
      <c r="E20" s="10">
        <v>5</v>
      </c>
      <c r="F20" s="10">
        <v>1</v>
      </c>
      <c r="G20" s="10">
        <v>1</v>
      </c>
      <c r="H20" s="10">
        <v>8286</v>
      </c>
      <c r="I20" s="10">
        <v>55</v>
      </c>
      <c r="J20" s="10" t="s">
        <v>140</v>
      </c>
    </row>
    <row r="21" spans="1:10" x14ac:dyDescent="0.3">
      <c r="A21" s="10">
        <v>8286</v>
      </c>
      <c r="B21" s="10">
        <v>77</v>
      </c>
      <c r="C21" s="10" t="s">
        <v>62</v>
      </c>
      <c r="D21" s="10" t="s">
        <v>108</v>
      </c>
      <c r="E21" s="10">
        <v>5</v>
      </c>
      <c r="F21" s="10">
        <v>1</v>
      </c>
      <c r="G21" s="10">
        <v>1</v>
      </c>
      <c r="H21" s="10">
        <v>8286</v>
      </c>
      <c r="I21" s="10">
        <v>55</v>
      </c>
      <c r="J21" s="10" t="s">
        <v>140</v>
      </c>
    </row>
    <row r="22" spans="1:10" x14ac:dyDescent="0.3">
      <c r="A22" s="10">
        <v>8286</v>
      </c>
      <c r="B22" s="10">
        <v>78</v>
      </c>
      <c r="C22" s="10" t="s">
        <v>62</v>
      </c>
      <c r="D22" s="10" t="s">
        <v>109</v>
      </c>
      <c r="E22" s="10">
        <v>5</v>
      </c>
      <c r="F22" s="10">
        <v>1</v>
      </c>
      <c r="G22" s="10">
        <v>1</v>
      </c>
      <c r="H22" s="10">
        <v>8286</v>
      </c>
      <c r="I22" s="10">
        <v>55</v>
      </c>
      <c r="J22" s="10" t="s">
        <v>140</v>
      </c>
    </row>
    <row r="23" spans="1:10" x14ac:dyDescent="0.3">
      <c r="A23" s="10">
        <v>8288</v>
      </c>
      <c r="B23" s="10">
        <v>1</v>
      </c>
      <c r="C23" s="10">
        <v>0.2</v>
      </c>
      <c r="D23" s="10" t="s">
        <v>45</v>
      </c>
      <c r="E23" s="10">
        <v>1</v>
      </c>
      <c r="F23" s="10">
        <v>1</v>
      </c>
      <c r="G23" s="10">
        <v>1</v>
      </c>
      <c r="H23" s="10">
        <v>8288</v>
      </c>
      <c r="I23" s="10">
        <v>301</v>
      </c>
      <c r="J23" s="10" t="s">
        <v>141</v>
      </c>
    </row>
    <row r="24" spans="1:10" x14ac:dyDescent="0.3">
      <c r="A24" s="10">
        <v>8288</v>
      </c>
      <c r="B24" s="10">
        <v>2</v>
      </c>
      <c r="C24" s="10">
        <v>0.2</v>
      </c>
      <c r="D24" s="10" t="s">
        <v>47</v>
      </c>
      <c r="E24" s="10">
        <v>1</v>
      </c>
      <c r="F24" s="10">
        <v>1</v>
      </c>
      <c r="G24" s="10">
        <v>1</v>
      </c>
      <c r="H24" s="10">
        <v>8288</v>
      </c>
      <c r="I24" s="10">
        <v>301</v>
      </c>
      <c r="J24" s="10" t="s">
        <v>141</v>
      </c>
    </row>
    <row r="25" spans="1:10" x14ac:dyDescent="0.3">
      <c r="A25" s="10">
        <v>8288</v>
      </c>
      <c r="B25" s="10">
        <v>3</v>
      </c>
      <c r="C25" s="10">
        <v>0.64500000000000002</v>
      </c>
      <c r="D25" s="10" t="s">
        <v>48</v>
      </c>
      <c r="E25" s="10">
        <v>1</v>
      </c>
      <c r="F25" s="10">
        <v>1</v>
      </c>
      <c r="G25" s="10">
        <v>1</v>
      </c>
      <c r="H25" s="10">
        <v>8288</v>
      </c>
      <c r="I25" s="10">
        <v>301</v>
      </c>
      <c r="J25" s="10" t="s">
        <v>141</v>
      </c>
    </row>
    <row r="26" spans="1:10" x14ac:dyDescent="0.3">
      <c r="A26" s="10">
        <v>8288</v>
      </c>
      <c r="B26" s="10">
        <v>4</v>
      </c>
      <c r="C26" s="10">
        <v>0.02</v>
      </c>
      <c r="D26" s="10" t="s">
        <v>49</v>
      </c>
      <c r="E26" s="10">
        <v>1</v>
      </c>
      <c r="F26" s="10">
        <v>1</v>
      </c>
      <c r="G26" s="10">
        <v>1</v>
      </c>
      <c r="H26" s="10">
        <v>8288</v>
      </c>
      <c r="I26" s="10">
        <v>301</v>
      </c>
      <c r="J26" s="10" t="s">
        <v>141</v>
      </c>
    </row>
    <row r="27" spans="1:10" x14ac:dyDescent="0.3">
      <c r="A27" s="10">
        <v>8288</v>
      </c>
      <c r="B27" s="10">
        <v>6</v>
      </c>
      <c r="C27" s="10">
        <v>3.3333333333333298E-2</v>
      </c>
      <c r="D27" s="10" t="s">
        <v>51</v>
      </c>
      <c r="E27" s="10">
        <v>1</v>
      </c>
      <c r="F27" s="10">
        <v>1</v>
      </c>
      <c r="G27" s="10">
        <v>1</v>
      </c>
      <c r="H27" s="10">
        <v>8288</v>
      </c>
      <c r="I27" s="10">
        <v>301</v>
      </c>
      <c r="J27" s="10" t="s">
        <v>141</v>
      </c>
    </row>
    <row r="28" spans="1:10" x14ac:dyDescent="0.3">
      <c r="A28" s="10">
        <v>8288</v>
      </c>
      <c r="B28" s="10">
        <v>7</v>
      </c>
      <c r="C28" s="10">
        <v>3.3333333333333298E-2</v>
      </c>
      <c r="D28" s="10" t="s">
        <v>52</v>
      </c>
      <c r="E28" s="10">
        <v>1</v>
      </c>
      <c r="F28" s="10">
        <v>1</v>
      </c>
      <c r="G28" s="10">
        <v>1</v>
      </c>
      <c r="H28" s="10">
        <v>8288</v>
      </c>
      <c r="I28" s="10">
        <v>301</v>
      </c>
      <c r="J28" s="10" t="s">
        <v>141</v>
      </c>
    </row>
    <row r="29" spans="1:10" x14ac:dyDescent="0.3">
      <c r="A29" s="10">
        <v>8288</v>
      </c>
      <c r="B29" s="10">
        <v>8</v>
      </c>
      <c r="C29" s="10">
        <v>0.24666666666666701</v>
      </c>
      <c r="D29" s="10" t="s">
        <v>53</v>
      </c>
      <c r="E29" s="10">
        <v>1</v>
      </c>
      <c r="F29" s="10">
        <v>1</v>
      </c>
      <c r="G29" s="10">
        <v>1</v>
      </c>
      <c r="H29" s="10">
        <v>8288</v>
      </c>
      <c r="I29" s="10">
        <v>301</v>
      </c>
      <c r="J29" s="10" t="s">
        <v>141</v>
      </c>
    </row>
    <row r="30" spans="1:10" x14ac:dyDescent="0.3">
      <c r="A30" s="10">
        <v>8288</v>
      </c>
      <c r="B30" s="10">
        <v>9</v>
      </c>
      <c r="C30" s="10">
        <v>0.02</v>
      </c>
      <c r="D30" s="10" t="s">
        <v>54</v>
      </c>
      <c r="E30" s="10">
        <v>1</v>
      </c>
      <c r="F30" s="10">
        <v>3</v>
      </c>
      <c r="G30" s="10">
        <v>2</v>
      </c>
      <c r="H30" s="10">
        <v>8288</v>
      </c>
      <c r="I30" s="10">
        <v>301</v>
      </c>
      <c r="J30" s="10" t="s">
        <v>141</v>
      </c>
    </row>
    <row r="31" spans="1:10" x14ac:dyDescent="0.3">
      <c r="A31" s="10">
        <v>8288</v>
      </c>
      <c r="B31" s="10">
        <v>10</v>
      </c>
      <c r="C31" s="10">
        <v>0.4</v>
      </c>
      <c r="D31" s="10" t="s">
        <v>55</v>
      </c>
      <c r="E31" s="10">
        <v>1</v>
      </c>
      <c r="F31" s="10">
        <v>4</v>
      </c>
      <c r="G31" s="10">
        <v>1</v>
      </c>
      <c r="H31" s="10">
        <v>8288</v>
      </c>
      <c r="I31" s="10">
        <v>301</v>
      </c>
      <c r="J31" s="10" t="s">
        <v>141</v>
      </c>
    </row>
    <row r="32" spans="1:10" x14ac:dyDescent="0.3">
      <c r="A32" s="10">
        <v>8288</v>
      </c>
      <c r="B32" s="10">
        <v>11</v>
      </c>
      <c r="C32" s="10">
        <v>5.0000000000000001E-3</v>
      </c>
      <c r="D32" s="10" t="s">
        <v>56</v>
      </c>
      <c r="E32" s="10">
        <v>1</v>
      </c>
      <c r="F32" s="10">
        <v>1</v>
      </c>
      <c r="G32" s="10">
        <v>1</v>
      </c>
      <c r="H32" s="10">
        <v>8288</v>
      </c>
      <c r="I32" s="10">
        <v>301</v>
      </c>
      <c r="J32" s="10" t="s">
        <v>141</v>
      </c>
    </row>
    <row r="33" spans="1:10" x14ac:dyDescent="0.3">
      <c r="A33" s="10">
        <v>8288</v>
      </c>
      <c r="B33" s="10">
        <v>14</v>
      </c>
      <c r="C33" s="10">
        <v>0.01</v>
      </c>
      <c r="D33" s="10" t="s">
        <v>59</v>
      </c>
      <c r="E33" s="10">
        <v>1</v>
      </c>
      <c r="F33" s="10">
        <v>1</v>
      </c>
      <c r="G33" s="10">
        <v>1</v>
      </c>
      <c r="H33" s="10">
        <v>8288</v>
      </c>
      <c r="I33" s="10">
        <v>301</v>
      </c>
      <c r="J33" s="10" t="s">
        <v>141</v>
      </c>
    </row>
    <row r="34" spans="1:10" x14ac:dyDescent="0.3">
      <c r="A34" s="10">
        <v>8288</v>
      </c>
      <c r="B34" s="10">
        <v>15</v>
      </c>
      <c r="C34" s="10">
        <v>0.35666666666666702</v>
      </c>
      <c r="D34" s="10" t="s">
        <v>60</v>
      </c>
      <c r="E34" s="10">
        <v>1</v>
      </c>
      <c r="F34" s="10">
        <v>1</v>
      </c>
      <c r="G34" s="10">
        <v>1</v>
      </c>
      <c r="H34" s="10">
        <v>8288</v>
      </c>
      <c r="I34" s="10">
        <v>301</v>
      </c>
      <c r="J34" s="10" t="s">
        <v>141</v>
      </c>
    </row>
    <row r="35" spans="1:10" x14ac:dyDescent="0.3">
      <c r="A35" s="10">
        <v>8288</v>
      </c>
      <c r="B35" s="10">
        <v>16</v>
      </c>
      <c r="C35" s="10" t="s">
        <v>62</v>
      </c>
      <c r="D35" s="10" t="s">
        <v>61</v>
      </c>
      <c r="E35" s="10">
        <v>1</v>
      </c>
      <c r="F35" s="10">
        <v>4</v>
      </c>
      <c r="G35" s="10">
        <v>1</v>
      </c>
      <c r="H35" s="10">
        <v>8288</v>
      </c>
      <c r="I35" s="10">
        <v>301</v>
      </c>
      <c r="J35" s="10" t="s">
        <v>141</v>
      </c>
    </row>
    <row r="36" spans="1:10" x14ac:dyDescent="0.3">
      <c r="A36" s="10">
        <v>8288</v>
      </c>
      <c r="B36" s="10">
        <v>17</v>
      </c>
      <c r="C36" s="10">
        <v>0.16</v>
      </c>
      <c r="D36" s="10" t="s">
        <v>63</v>
      </c>
      <c r="E36" s="10">
        <v>1</v>
      </c>
      <c r="F36" s="10">
        <v>1</v>
      </c>
      <c r="G36" s="10">
        <v>1</v>
      </c>
      <c r="H36" s="10">
        <v>8288</v>
      </c>
      <c r="I36" s="10">
        <v>301</v>
      </c>
      <c r="J36" s="10" t="s">
        <v>141</v>
      </c>
    </row>
    <row r="37" spans="1:10" x14ac:dyDescent="0.3">
      <c r="A37" s="10">
        <v>8288</v>
      </c>
      <c r="B37" s="10">
        <v>18</v>
      </c>
      <c r="C37" s="10" t="s">
        <v>62</v>
      </c>
      <c r="D37" s="10" t="s">
        <v>64</v>
      </c>
      <c r="E37" s="10">
        <v>1</v>
      </c>
      <c r="F37" s="10">
        <v>1</v>
      </c>
      <c r="G37" s="10">
        <v>1</v>
      </c>
      <c r="H37" s="10">
        <v>8288</v>
      </c>
      <c r="I37" s="10">
        <v>301</v>
      </c>
      <c r="J37" s="10" t="s">
        <v>141</v>
      </c>
    </row>
    <row r="38" spans="1:10" x14ac:dyDescent="0.3">
      <c r="A38" s="10">
        <v>8288</v>
      </c>
      <c r="B38" s="10">
        <v>19</v>
      </c>
      <c r="C38" s="10">
        <v>0.198333333333333</v>
      </c>
      <c r="D38" s="10" t="s">
        <v>65</v>
      </c>
      <c r="E38" s="10">
        <v>1</v>
      </c>
      <c r="F38" s="10">
        <v>4</v>
      </c>
      <c r="G38" s="10">
        <v>1</v>
      </c>
      <c r="H38" s="10">
        <v>8288</v>
      </c>
      <c r="I38" s="10">
        <v>301</v>
      </c>
      <c r="J38" s="10" t="s">
        <v>141</v>
      </c>
    </row>
    <row r="39" spans="1:10" x14ac:dyDescent="0.3">
      <c r="A39" s="10">
        <v>8288</v>
      </c>
      <c r="B39" s="10">
        <v>20</v>
      </c>
      <c r="C39" s="10">
        <v>0.16666666666666699</v>
      </c>
      <c r="D39" s="10" t="s">
        <v>66</v>
      </c>
      <c r="E39" s="10">
        <v>1</v>
      </c>
      <c r="F39" s="10">
        <v>4</v>
      </c>
      <c r="G39" s="10">
        <v>1</v>
      </c>
      <c r="H39" s="10">
        <v>8288</v>
      </c>
      <c r="I39" s="10">
        <v>301</v>
      </c>
      <c r="J39" s="10" t="s">
        <v>141</v>
      </c>
    </row>
    <row r="40" spans="1:10" x14ac:dyDescent="0.3">
      <c r="A40" s="10">
        <v>8288</v>
      </c>
      <c r="B40" s="10">
        <v>21</v>
      </c>
      <c r="C40" s="10">
        <v>0.21666666666666701</v>
      </c>
      <c r="D40" s="10" t="s">
        <v>67</v>
      </c>
      <c r="E40" s="10">
        <v>1</v>
      </c>
      <c r="F40" s="10">
        <v>3</v>
      </c>
      <c r="G40" s="10">
        <v>2</v>
      </c>
      <c r="H40" s="10">
        <v>8288</v>
      </c>
      <c r="I40" s="10">
        <v>301</v>
      </c>
      <c r="J40" s="10" t="s">
        <v>141</v>
      </c>
    </row>
    <row r="41" spans="1:10" x14ac:dyDescent="0.3">
      <c r="A41" s="10">
        <v>8288</v>
      </c>
      <c r="B41" s="10">
        <v>22</v>
      </c>
      <c r="C41" s="10">
        <v>0.4</v>
      </c>
      <c r="D41" s="10" t="s">
        <v>68</v>
      </c>
      <c r="E41" s="10">
        <v>1</v>
      </c>
      <c r="F41" s="10">
        <v>1</v>
      </c>
      <c r="G41" s="10">
        <v>1</v>
      </c>
      <c r="H41" s="10">
        <v>8288</v>
      </c>
      <c r="I41" s="10">
        <v>301</v>
      </c>
      <c r="J41" s="10" t="s">
        <v>141</v>
      </c>
    </row>
    <row r="42" spans="1:10" x14ac:dyDescent="0.3">
      <c r="A42" s="10">
        <v>8288</v>
      </c>
      <c r="B42" s="10">
        <v>23</v>
      </c>
      <c r="C42" s="10">
        <v>0.176666666666667</v>
      </c>
      <c r="D42" s="10" t="s">
        <v>69</v>
      </c>
      <c r="E42" s="10">
        <v>1</v>
      </c>
      <c r="F42" s="10">
        <v>4</v>
      </c>
      <c r="G42" s="10">
        <v>1</v>
      </c>
      <c r="H42" s="10">
        <v>8288</v>
      </c>
      <c r="I42" s="10">
        <v>301</v>
      </c>
      <c r="J42" s="10" t="s">
        <v>141</v>
      </c>
    </row>
    <row r="43" spans="1:10" x14ac:dyDescent="0.3">
      <c r="A43" s="10">
        <v>8288</v>
      </c>
      <c r="B43" s="10">
        <v>24</v>
      </c>
      <c r="C43" s="10">
        <v>3.1666666666666697E-2</v>
      </c>
      <c r="D43" s="10" t="s">
        <v>70</v>
      </c>
      <c r="E43" s="10">
        <v>1</v>
      </c>
      <c r="F43" s="10">
        <v>4</v>
      </c>
      <c r="G43" s="10">
        <v>1</v>
      </c>
      <c r="H43" s="10">
        <v>8288</v>
      </c>
      <c r="I43" s="10">
        <v>301</v>
      </c>
      <c r="J43" s="10" t="s">
        <v>141</v>
      </c>
    </row>
    <row r="44" spans="1:10" x14ac:dyDescent="0.3">
      <c r="A44" s="10">
        <v>8288</v>
      </c>
      <c r="B44" s="10">
        <v>25</v>
      </c>
      <c r="C44" s="10">
        <v>0.18</v>
      </c>
      <c r="D44" s="10" t="s">
        <v>71</v>
      </c>
      <c r="E44" s="10">
        <v>1</v>
      </c>
      <c r="F44" s="10">
        <v>4</v>
      </c>
      <c r="G44" s="10">
        <v>1</v>
      </c>
      <c r="H44" s="10">
        <v>8288</v>
      </c>
      <c r="I44" s="10">
        <v>301</v>
      </c>
      <c r="J44" s="10" t="s">
        <v>141</v>
      </c>
    </row>
    <row r="45" spans="1:10" x14ac:dyDescent="0.3">
      <c r="A45" s="10">
        <v>8288</v>
      </c>
      <c r="B45" s="10">
        <v>26</v>
      </c>
      <c r="C45" s="10">
        <v>0.358333333333333</v>
      </c>
      <c r="D45" s="10" t="s">
        <v>72</v>
      </c>
      <c r="E45" s="10">
        <v>1</v>
      </c>
      <c r="F45" s="10">
        <v>4</v>
      </c>
      <c r="G45" s="10">
        <v>1</v>
      </c>
      <c r="H45" s="10">
        <v>8288</v>
      </c>
      <c r="I45" s="10">
        <v>301</v>
      </c>
      <c r="J45" s="10" t="s">
        <v>141</v>
      </c>
    </row>
    <row r="46" spans="1:10" x14ac:dyDescent="0.3">
      <c r="A46" s="10">
        <v>8288</v>
      </c>
      <c r="B46" s="10">
        <v>27</v>
      </c>
      <c r="C46" s="10">
        <v>0.228333333333333</v>
      </c>
      <c r="D46" s="10" t="s">
        <v>73</v>
      </c>
      <c r="E46" s="10">
        <v>1</v>
      </c>
      <c r="F46" s="10">
        <v>4</v>
      </c>
      <c r="G46" s="10">
        <v>1</v>
      </c>
      <c r="H46" s="10">
        <v>8288</v>
      </c>
      <c r="I46" s="10">
        <v>301</v>
      </c>
      <c r="J46" s="10" t="s">
        <v>141</v>
      </c>
    </row>
    <row r="47" spans="1:10" x14ac:dyDescent="0.3">
      <c r="A47" s="10">
        <v>8288</v>
      </c>
      <c r="B47" s="10">
        <v>30</v>
      </c>
      <c r="C47" s="10" t="s">
        <v>62</v>
      </c>
      <c r="D47" s="10" t="s">
        <v>75</v>
      </c>
      <c r="E47" s="10">
        <v>2</v>
      </c>
      <c r="F47" s="10">
        <v>1</v>
      </c>
      <c r="G47" s="10">
        <v>2</v>
      </c>
      <c r="H47" s="10">
        <v>8288</v>
      </c>
      <c r="I47" s="10">
        <v>301</v>
      </c>
      <c r="J47" s="10" t="s">
        <v>141</v>
      </c>
    </row>
    <row r="48" spans="1:10" x14ac:dyDescent="0.3">
      <c r="A48" s="10">
        <v>8288</v>
      </c>
      <c r="B48" s="10">
        <v>31</v>
      </c>
      <c r="C48" s="10">
        <v>0.43333333333333302</v>
      </c>
      <c r="D48" s="10" t="s">
        <v>77</v>
      </c>
      <c r="E48" s="10">
        <v>3</v>
      </c>
      <c r="F48" s="10">
        <v>1</v>
      </c>
      <c r="G48" s="10">
        <v>2</v>
      </c>
      <c r="H48" s="10">
        <v>8288</v>
      </c>
      <c r="I48" s="10">
        <v>301</v>
      </c>
      <c r="J48" s="10" t="s">
        <v>141</v>
      </c>
    </row>
    <row r="49" spans="1:10" x14ac:dyDescent="0.3">
      <c r="A49" s="10">
        <v>8288</v>
      </c>
      <c r="B49" s="10">
        <v>32</v>
      </c>
      <c r="C49" s="10">
        <v>3.8333333333333303E-2</v>
      </c>
      <c r="D49" s="10" t="s">
        <v>78</v>
      </c>
      <c r="E49" s="10">
        <v>2</v>
      </c>
      <c r="F49" s="10">
        <v>1</v>
      </c>
      <c r="G49" s="10">
        <v>2</v>
      </c>
      <c r="H49" s="10">
        <v>8288</v>
      </c>
      <c r="I49" s="10">
        <v>301</v>
      </c>
      <c r="J49" s="10" t="s">
        <v>141</v>
      </c>
    </row>
    <row r="50" spans="1:10" x14ac:dyDescent="0.3">
      <c r="A50" s="10">
        <v>8288</v>
      </c>
      <c r="B50" s="10">
        <v>33</v>
      </c>
      <c r="C50" s="10">
        <v>0.63333333333333297</v>
      </c>
      <c r="D50" s="10" t="s">
        <v>79</v>
      </c>
      <c r="E50" s="10">
        <v>2</v>
      </c>
      <c r="F50" s="10">
        <v>1</v>
      </c>
      <c r="G50" s="10">
        <v>1</v>
      </c>
      <c r="H50" s="10">
        <v>8288</v>
      </c>
      <c r="I50" s="10">
        <v>301</v>
      </c>
      <c r="J50" s="10" t="s">
        <v>141</v>
      </c>
    </row>
    <row r="51" spans="1:10" x14ac:dyDescent="0.3">
      <c r="A51" s="10">
        <v>8288</v>
      </c>
      <c r="B51" s="10">
        <v>34</v>
      </c>
      <c r="C51" s="10" t="s">
        <v>62</v>
      </c>
      <c r="D51" s="10" t="s">
        <v>52</v>
      </c>
      <c r="E51" s="10">
        <v>2</v>
      </c>
      <c r="F51" s="10">
        <v>1</v>
      </c>
      <c r="G51" s="10">
        <v>1</v>
      </c>
      <c r="H51" s="10">
        <v>8288</v>
      </c>
      <c r="I51" s="10">
        <v>301</v>
      </c>
      <c r="J51" s="10" t="s">
        <v>141</v>
      </c>
    </row>
    <row r="52" spans="1:10" x14ac:dyDescent="0.3">
      <c r="A52" s="10">
        <v>8288</v>
      </c>
      <c r="B52" s="10">
        <v>35</v>
      </c>
      <c r="C52" s="10">
        <v>4</v>
      </c>
      <c r="D52" s="10" t="s">
        <v>48</v>
      </c>
      <c r="E52" s="10">
        <v>2</v>
      </c>
      <c r="F52" s="10">
        <v>1</v>
      </c>
      <c r="G52" s="10">
        <v>1</v>
      </c>
      <c r="H52" s="10">
        <v>8288</v>
      </c>
      <c r="I52" s="10">
        <v>301</v>
      </c>
      <c r="J52" s="10" t="s">
        <v>141</v>
      </c>
    </row>
    <row r="53" spans="1:10" x14ac:dyDescent="0.3">
      <c r="A53" s="10">
        <v>8288</v>
      </c>
      <c r="B53" s="10">
        <v>36</v>
      </c>
      <c r="C53" s="10">
        <v>0.57999999999999996</v>
      </c>
      <c r="D53" s="10" t="s">
        <v>51</v>
      </c>
      <c r="E53" s="10">
        <v>3</v>
      </c>
      <c r="F53" s="10">
        <v>1</v>
      </c>
      <c r="G53" s="10">
        <v>1</v>
      </c>
      <c r="H53" s="10">
        <v>8288</v>
      </c>
      <c r="I53" s="10">
        <v>301</v>
      </c>
      <c r="J53" s="10" t="s">
        <v>141</v>
      </c>
    </row>
    <row r="54" spans="1:10" x14ac:dyDescent="0.3">
      <c r="A54" s="10">
        <v>8288</v>
      </c>
      <c r="B54" s="10">
        <v>38</v>
      </c>
      <c r="C54" s="10">
        <v>0.43333333333333302</v>
      </c>
      <c r="D54" s="10" t="s">
        <v>81</v>
      </c>
      <c r="E54" s="10">
        <v>3</v>
      </c>
      <c r="F54" s="10">
        <v>1</v>
      </c>
      <c r="G54" s="10">
        <v>2</v>
      </c>
      <c r="H54" s="10">
        <v>8288</v>
      </c>
      <c r="I54" s="10">
        <v>301</v>
      </c>
      <c r="J54" s="10" t="s">
        <v>141</v>
      </c>
    </row>
    <row r="55" spans="1:10" x14ac:dyDescent="0.3">
      <c r="A55" s="10">
        <v>8288</v>
      </c>
      <c r="B55" s="10">
        <v>39</v>
      </c>
      <c r="C55" s="10">
        <v>0.6</v>
      </c>
      <c r="D55" s="10" t="s">
        <v>56</v>
      </c>
      <c r="E55" s="10">
        <v>3</v>
      </c>
      <c r="F55" s="10">
        <v>1</v>
      </c>
      <c r="G55" s="10">
        <v>1</v>
      </c>
      <c r="H55" s="10">
        <v>8288</v>
      </c>
      <c r="I55" s="10">
        <v>301</v>
      </c>
      <c r="J55" s="10" t="s">
        <v>141</v>
      </c>
    </row>
    <row r="56" spans="1:10" x14ac:dyDescent="0.3">
      <c r="A56" s="10">
        <v>8288</v>
      </c>
      <c r="B56" s="10">
        <v>40</v>
      </c>
      <c r="C56" s="10" t="s">
        <v>62</v>
      </c>
      <c r="D56" s="10" t="s">
        <v>82</v>
      </c>
      <c r="E56" s="10">
        <v>3</v>
      </c>
      <c r="F56" s="10">
        <v>3</v>
      </c>
      <c r="G56" s="10">
        <v>3</v>
      </c>
      <c r="H56" s="10">
        <v>8288</v>
      </c>
      <c r="I56" s="10">
        <v>301</v>
      </c>
      <c r="J56" s="10" t="s">
        <v>141</v>
      </c>
    </row>
    <row r="57" spans="1:10" x14ac:dyDescent="0.3">
      <c r="A57" s="10">
        <v>8288</v>
      </c>
      <c r="B57" s="10">
        <v>47</v>
      </c>
      <c r="C57" s="10">
        <v>1.16666666666667E-2</v>
      </c>
      <c r="D57" s="10" t="s">
        <v>55</v>
      </c>
      <c r="E57" s="10">
        <v>2</v>
      </c>
      <c r="F57" s="10">
        <v>4</v>
      </c>
      <c r="G57" s="10">
        <v>1</v>
      </c>
      <c r="H57" s="10">
        <v>8288</v>
      </c>
      <c r="I57" s="10">
        <v>301</v>
      </c>
      <c r="J57" s="10" t="s">
        <v>141</v>
      </c>
    </row>
    <row r="58" spans="1:10" x14ac:dyDescent="0.3">
      <c r="A58" s="10">
        <v>8288</v>
      </c>
      <c r="B58" s="10">
        <v>48</v>
      </c>
      <c r="C58" s="10">
        <v>0.4</v>
      </c>
      <c r="D58" s="10" t="s">
        <v>88</v>
      </c>
      <c r="E58" s="10">
        <v>2</v>
      </c>
      <c r="F58" s="10">
        <v>4</v>
      </c>
      <c r="G58" s="10">
        <v>1</v>
      </c>
      <c r="H58" s="10">
        <v>8288</v>
      </c>
      <c r="I58" s="10">
        <v>301</v>
      </c>
      <c r="J58" s="10" t="s">
        <v>141</v>
      </c>
    </row>
    <row r="59" spans="1:10" x14ac:dyDescent="0.3">
      <c r="A59" s="10">
        <v>8288</v>
      </c>
      <c r="B59" s="10">
        <v>49</v>
      </c>
      <c r="C59" s="10">
        <v>0.4</v>
      </c>
      <c r="D59" s="10" t="s">
        <v>89</v>
      </c>
      <c r="E59" s="10">
        <v>2</v>
      </c>
      <c r="F59" s="10">
        <v>4</v>
      </c>
      <c r="G59" s="10">
        <v>1</v>
      </c>
      <c r="H59" s="10">
        <v>8288</v>
      </c>
      <c r="I59" s="10">
        <v>301</v>
      </c>
      <c r="J59" s="10" t="s">
        <v>141</v>
      </c>
    </row>
    <row r="60" spans="1:10" x14ac:dyDescent="0.3">
      <c r="A60" s="10">
        <v>8288</v>
      </c>
      <c r="B60" s="10">
        <v>50</v>
      </c>
      <c r="C60" s="10">
        <v>6.6666666666666697E-3</v>
      </c>
      <c r="D60" s="10" t="s">
        <v>70</v>
      </c>
      <c r="E60" s="10">
        <v>2</v>
      </c>
      <c r="F60" s="10">
        <v>4</v>
      </c>
      <c r="G60" s="10">
        <v>1</v>
      </c>
      <c r="H60" s="10">
        <v>8288</v>
      </c>
      <c r="I60" s="10">
        <v>301</v>
      </c>
      <c r="J60" s="10" t="s">
        <v>141</v>
      </c>
    </row>
    <row r="61" spans="1:10" x14ac:dyDescent="0.3">
      <c r="A61" s="10">
        <v>8288</v>
      </c>
      <c r="B61" s="10">
        <v>51</v>
      </c>
      <c r="C61" s="10">
        <v>0.4</v>
      </c>
      <c r="D61" s="10" t="s">
        <v>90</v>
      </c>
      <c r="E61" s="10">
        <v>2</v>
      </c>
      <c r="F61" s="10">
        <v>4</v>
      </c>
      <c r="G61" s="10">
        <v>1</v>
      </c>
      <c r="H61" s="10">
        <v>8288</v>
      </c>
      <c r="I61" s="10">
        <v>301</v>
      </c>
      <c r="J61" s="10" t="s">
        <v>141</v>
      </c>
    </row>
    <row r="62" spans="1:10" x14ac:dyDescent="0.3">
      <c r="A62" s="10">
        <v>8288</v>
      </c>
      <c r="B62" s="10">
        <v>53</v>
      </c>
      <c r="C62" s="10">
        <v>5.0000000000000001E-3</v>
      </c>
      <c r="D62" s="10" t="s">
        <v>92</v>
      </c>
      <c r="E62" s="10">
        <v>2</v>
      </c>
      <c r="F62" s="10">
        <v>4</v>
      </c>
      <c r="G62" s="10">
        <v>1</v>
      </c>
      <c r="H62" s="10">
        <v>8288</v>
      </c>
      <c r="I62" s="10">
        <v>301</v>
      </c>
      <c r="J62" s="10" t="s">
        <v>141</v>
      </c>
    </row>
    <row r="63" spans="1:10" x14ac:dyDescent="0.3">
      <c r="A63" s="10">
        <v>8288</v>
      </c>
      <c r="B63" s="10">
        <v>54</v>
      </c>
      <c r="C63" s="10" t="s">
        <v>62</v>
      </c>
      <c r="D63" s="10" t="s">
        <v>93</v>
      </c>
      <c r="E63" s="10">
        <v>2</v>
      </c>
      <c r="F63" s="10">
        <v>4</v>
      </c>
      <c r="G63" s="10">
        <v>1</v>
      </c>
      <c r="H63" s="10">
        <v>8288</v>
      </c>
      <c r="I63" s="10">
        <v>301</v>
      </c>
      <c r="J63" s="10" t="s">
        <v>141</v>
      </c>
    </row>
    <row r="64" spans="1:10" x14ac:dyDescent="0.3">
      <c r="A64" s="10">
        <v>8288</v>
      </c>
      <c r="B64" s="10">
        <v>55</v>
      </c>
      <c r="C64" s="10">
        <v>0.16666666666666699</v>
      </c>
      <c r="D64" s="10" t="s">
        <v>94</v>
      </c>
      <c r="E64" s="10">
        <v>2</v>
      </c>
      <c r="F64" s="10">
        <v>1</v>
      </c>
      <c r="G64" s="10">
        <v>1</v>
      </c>
      <c r="H64" s="10">
        <v>8288</v>
      </c>
      <c r="I64" s="10">
        <v>301</v>
      </c>
      <c r="J64" s="10" t="s">
        <v>141</v>
      </c>
    </row>
    <row r="65" spans="1:10" x14ac:dyDescent="0.3">
      <c r="A65" s="10">
        <v>8288</v>
      </c>
      <c r="B65" s="10">
        <v>56</v>
      </c>
      <c r="C65" s="10">
        <v>0.16666666666666699</v>
      </c>
      <c r="D65" s="10" t="s">
        <v>95</v>
      </c>
      <c r="E65" s="10">
        <v>2</v>
      </c>
      <c r="F65" s="10">
        <v>4</v>
      </c>
      <c r="G65" s="10">
        <v>1</v>
      </c>
      <c r="H65" s="10">
        <v>8288</v>
      </c>
      <c r="I65" s="10">
        <v>301</v>
      </c>
      <c r="J65" s="10" t="s">
        <v>141</v>
      </c>
    </row>
    <row r="66" spans="1:10" x14ac:dyDescent="0.3">
      <c r="A66" s="10">
        <v>8288</v>
      </c>
      <c r="B66" s="10">
        <v>57</v>
      </c>
      <c r="C66" s="10">
        <v>0.21333333333333299</v>
      </c>
      <c r="D66" s="10" t="s">
        <v>63</v>
      </c>
      <c r="E66" s="10">
        <v>2</v>
      </c>
      <c r="F66" s="10">
        <v>1</v>
      </c>
      <c r="G66" s="10">
        <v>1</v>
      </c>
      <c r="H66" s="10">
        <v>8288</v>
      </c>
      <c r="I66" s="10">
        <v>301</v>
      </c>
      <c r="J66" s="10" t="s">
        <v>141</v>
      </c>
    </row>
    <row r="67" spans="1:10" x14ac:dyDescent="0.3">
      <c r="A67" s="10">
        <v>8288</v>
      </c>
      <c r="B67" s="10">
        <v>58</v>
      </c>
      <c r="C67" s="10">
        <v>0.38333333333333303</v>
      </c>
      <c r="D67" s="10" t="s">
        <v>96</v>
      </c>
      <c r="E67" s="10">
        <v>2</v>
      </c>
      <c r="F67" s="10">
        <v>1</v>
      </c>
      <c r="G67" s="10">
        <v>1</v>
      </c>
      <c r="H67" s="10">
        <v>8288</v>
      </c>
      <c r="I67" s="10">
        <v>301</v>
      </c>
      <c r="J67" s="10" t="s">
        <v>141</v>
      </c>
    </row>
    <row r="68" spans="1:10" x14ac:dyDescent="0.3">
      <c r="A68" s="10">
        <v>8288</v>
      </c>
      <c r="B68" s="10">
        <v>59</v>
      </c>
      <c r="C68" s="10" t="s">
        <v>62</v>
      </c>
      <c r="D68" s="10" t="s">
        <v>97</v>
      </c>
      <c r="E68" s="10">
        <v>2</v>
      </c>
      <c r="F68" s="10">
        <v>4</v>
      </c>
      <c r="G68" s="10">
        <v>1</v>
      </c>
      <c r="H68" s="10">
        <v>8288</v>
      </c>
      <c r="I68" s="10">
        <v>301</v>
      </c>
      <c r="J68" s="10" t="s">
        <v>141</v>
      </c>
    </row>
    <row r="69" spans="1:10" x14ac:dyDescent="0.3">
      <c r="A69" s="10">
        <v>8288</v>
      </c>
      <c r="B69" s="10">
        <v>69</v>
      </c>
      <c r="C69" s="10" t="s">
        <v>62</v>
      </c>
      <c r="D69" s="10" t="s">
        <v>100</v>
      </c>
      <c r="E69" s="10">
        <v>5</v>
      </c>
      <c r="F69" s="10">
        <v>1</v>
      </c>
      <c r="G69" s="10">
        <v>1</v>
      </c>
      <c r="H69" s="10">
        <v>8288</v>
      </c>
      <c r="I69" s="10">
        <v>301</v>
      </c>
      <c r="J69" s="10" t="s">
        <v>141</v>
      </c>
    </row>
    <row r="70" spans="1:10" x14ac:dyDescent="0.3">
      <c r="A70" s="10">
        <v>8288</v>
      </c>
      <c r="B70" s="10">
        <v>70</v>
      </c>
      <c r="C70" s="10" t="s">
        <v>62</v>
      </c>
      <c r="D70" s="10" t="s">
        <v>101</v>
      </c>
      <c r="E70" s="10">
        <v>5</v>
      </c>
      <c r="F70" s="10">
        <v>1</v>
      </c>
      <c r="G70" s="10">
        <v>1</v>
      </c>
      <c r="H70" s="10">
        <v>8288</v>
      </c>
      <c r="I70" s="10">
        <v>301</v>
      </c>
      <c r="J70" s="10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M91"/>
  <sheetViews>
    <sheetView workbookViewId="0">
      <pane ySplit="1" topLeftCell="A41" activePane="bottomLeft" state="frozen"/>
      <selection pane="bottomLeft" activeCell="M55" sqref="M55"/>
    </sheetView>
  </sheetViews>
  <sheetFormatPr baseColWidth="10" defaultColWidth="8.88671875" defaultRowHeight="14.4" x14ac:dyDescent="0.3"/>
  <cols>
    <col min="1" max="2" width="10" customWidth="1"/>
    <col min="3" max="3" width="14.88671875" bestFit="1" customWidth="1"/>
    <col min="4" max="4" width="14.88671875" customWidth="1"/>
    <col min="5" max="5" width="10" customWidth="1"/>
    <col min="6" max="6" width="10.109375" style="10" customWidth="1"/>
    <col min="7" max="7" width="26.109375" bestFit="1" customWidth="1"/>
    <col min="8" max="8" width="10" hidden="1" customWidth="1"/>
    <col min="9" max="9" width="14" customWidth="1"/>
    <col min="10" max="10" width="12" hidden="1" customWidth="1"/>
    <col min="11" max="11" width="45" customWidth="1"/>
    <col min="12" max="12" width="21" customWidth="1"/>
    <col min="13" max="13" width="57.88671875" bestFit="1" customWidth="1"/>
  </cols>
  <sheetData>
    <row r="1" spans="1:13" ht="24" customHeight="1" x14ac:dyDescent="0.3">
      <c r="A1" s="4" t="s">
        <v>35</v>
      </c>
      <c r="B1" s="4" t="s">
        <v>36</v>
      </c>
      <c r="C1" s="12" t="s">
        <v>142</v>
      </c>
      <c r="D1" s="22" t="s">
        <v>145</v>
      </c>
      <c r="E1" s="15" t="s">
        <v>38</v>
      </c>
      <c r="F1" s="4" t="s">
        <v>12</v>
      </c>
      <c r="G1" s="17" t="s">
        <v>39</v>
      </c>
      <c r="H1" s="4" t="s">
        <v>40</v>
      </c>
      <c r="I1" s="4" t="s">
        <v>14</v>
      </c>
      <c r="J1" s="4" t="s">
        <v>41</v>
      </c>
      <c r="K1" s="4" t="s">
        <v>42</v>
      </c>
      <c r="L1" s="4" t="s">
        <v>43</v>
      </c>
      <c r="M1" s="10"/>
    </row>
    <row r="2" spans="1:13" hidden="1" x14ac:dyDescent="0.3">
      <c r="A2" s="10">
        <v>4966</v>
      </c>
      <c r="B2" s="10">
        <v>1</v>
      </c>
      <c r="C2" s="10" t="s">
        <v>138</v>
      </c>
      <c r="D2" s="16">
        <v>8284</v>
      </c>
      <c r="E2" s="16">
        <v>1</v>
      </c>
      <c r="F2" s="5" t="str">
        <f>IFERROR(INDEX(code!$B$10:$B$13, MATCH(CENTRE_TEST!$E$2, code!$A$10:$A$13, 0)), "")</f>
        <v>ARRIVEE</v>
      </c>
      <c r="G2" s="18" t="s">
        <v>44</v>
      </c>
      <c r="H2" s="10">
        <v>1</v>
      </c>
      <c r="I2" s="10" t="s">
        <v>20</v>
      </c>
      <c r="J2" s="10">
        <v>1</v>
      </c>
      <c r="K2" s="10" t="s">
        <v>57</v>
      </c>
      <c r="L2" s="10">
        <v>3.625</v>
      </c>
      <c r="M2" s="10" t="str">
        <f>UPPER(TRIM(SUBSTITUTE(SUBSTITUTE(K2,CHAR(10)," "),CHAR(13)," ")))</f>
        <v>DÉPÔT COLIS PAR LE CLIENT</v>
      </c>
    </row>
    <row r="3" spans="1:13" hidden="1" x14ac:dyDescent="0.3">
      <c r="A3" s="10">
        <v>4967</v>
      </c>
      <c r="B3" s="10">
        <v>2</v>
      </c>
      <c r="C3" s="10" t="s">
        <v>138</v>
      </c>
      <c r="D3" s="16">
        <v>8284</v>
      </c>
      <c r="E3" s="16">
        <v>1</v>
      </c>
      <c r="F3" s="5" t="str">
        <f>IFERROR(INDEX(code!$B$10:$B$13, MATCH(CENTRE_TEST!$E$3, code!$A$10:$A$13, 0)), "")</f>
        <v>ARRIVEE</v>
      </c>
      <c r="G3" s="18" t="s">
        <v>44</v>
      </c>
      <c r="H3" s="10">
        <v>1</v>
      </c>
      <c r="I3" s="10" t="s">
        <v>20</v>
      </c>
      <c r="J3" s="10">
        <v>1</v>
      </c>
      <c r="K3" s="10" t="s">
        <v>58</v>
      </c>
      <c r="L3" s="10">
        <v>4.3550000000000004</v>
      </c>
      <c r="M3" s="10" t="str">
        <f t="shared" ref="M3:M66" si="0">TRIM(SUBSTITUTE(SUBSTITUTE(K3,CHAR(10)," "),CHAR(13)," "))</f>
        <v>Récupération colis par le client</v>
      </c>
    </row>
    <row r="4" spans="1:13" hidden="1" x14ac:dyDescent="0.3">
      <c r="A4" s="10">
        <v>4968</v>
      </c>
      <c r="B4" s="10">
        <v>3</v>
      </c>
      <c r="C4" s="10" t="s">
        <v>138</v>
      </c>
      <c r="D4" s="16">
        <v>8284</v>
      </c>
      <c r="E4" s="16">
        <v>1</v>
      </c>
      <c r="F4" s="5" t="str">
        <f>IFERROR(INDEX(code!$B$10:$B$13, MATCH(CENTRE_TEST!$E$4, code!$A$10:$A$13, 0)), "")</f>
        <v>ARRIVEE</v>
      </c>
      <c r="G4" s="18" t="s">
        <v>76</v>
      </c>
      <c r="H4" s="10">
        <v>1</v>
      </c>
      <c r="I4" s="10" t="s">
        <v>20</v>
      </c>
      <c r="J4" s="10">
        <v>1</v>
      </c>
      <c r="K4" s="10" t="s">
        <v>83</v>
      </c>
      <c r="L4" s="10">
        <v>0.20166666666666699</v>
      </c>
      <c r="M4" s="10" t="str">
        <f t="shared" si="0"/>
        <v>Tri par administration</v>
      </c>
    </row>
    <row r="5" spans="1:13" hidden="1" x14ac:dyDescent="0.3">
      <c r="A5" s="10">
        <v>4969</v>
      </c>
      <c r="B5" s="10">
        <v>4</v>
      </c>
      <c r="C5" s="10" t="s">
        <v>138</v>
      </c>
      <c r="D5" s="16">
        <v>8284</v>
      </c>
      <c r="E5" s="16">
        <v>1</v>
      </c>
      <c r="F5" s="5" t="str">
        <f>IFERROR(INDEX(code!$B$10:$B$13, MATCH(CENTRE_TEST!$E$5, code!$A$10:$A$13, 0)), "")</f>
        <v>ARRIVEE</v>
      </c>
      <c r="G5" s="18" t="s">
        <v>76</v>
      </c>
      <c r="H5" s="10">
        <v>1</v>
      </c>
      <c r="I5" s="10" t="s">
        <v>20</v>
      </c>
      <c r="J5" s="10">
        <v>1</v>
      </c>
      <c r="K5" s="10" t="s">
        <v>84</v>
      </c>
      <c r="L5" s="10">
        <v>0.64166666666666705</v>
      </c>
      <c r="M5" s="10" t="str">
        <f t="shared" si="0"/>
        <v>Envoi Courrier Recommandé</v>
      </c>
    </row>
    <row r="6" spans="1:13" hidden="1" x14ac:dyDescent="0.3">
      <c r="A6" s="10">
        <v>4970</v>
      </c>
      <c r="B6" s="10">
        <v>5</v>
      </c>
      <c r="C6" s="10" t="s">
        <v>138</v>
      </c>
      <c r="D6" s="16">
        <v>8284</v>
      </c>
      <c r="E6" s="16">
        <v>1</v>
      </c>
      <c r="F6" s="5" t="str">
        <f>IFERROR(INDEX(code!$B$10:$B$13, MATCH(CENTRE_TEST!$E$6, code!$A$10:$A$13, 0)), "")</f>
        <v>ARRIVEE</v>
      </c>
      <c r="G6" s="18" t="s">
        <v>74</v>
      </c>
      <c r="H6" s="10">
        <v>1</v>
      </c>
      <c r="I6" s="10" t="s">
        <v>20</v>
      </c>
      <c r="J6" s="10">
        <v>1</v>
      </c>
      <c r="K6" s="10" t="s">
        <v>85</v>
      </c>
      <c r="L6" s="10">
        <v>0.58333333333333304</v>
      </c>
      <c r="M6" s="10" t="str">
        <f t="shared" si="0"/>
        <v>Récupération CR</v>
      </c>
    </row>
    <row r="7" spans="1:13" hidden="1" x14ac:dyDescent="0.3">
      <c r="A7" s="10">
        <v>4971</v>
      </c>
      <c r="B7" s="10">
        <v>6</v>
      </c>
      <c r="C7" s="10" t="s">
        <v>138</v>
      </c>
      <c r="D7" s="16">
        <v>8284</v>
      </c>
      <c r="E7" s="16">
        <v>1</v>
      </c>
      <c r="F7" s="5" t="str">
        <f>IFERROR(INDEX(code!$B$10:$B$13, MATCH(CENTRE_TEST!$E$7, code!$A$10:$A$13, 0)), "")</f>
        <v>ARRIVEE</v>
      </c>
      <c r="G7" s="18" t="s">
        <v>74</v>
      </c>
      <c r="H7" s="10">
        <v>1</v>
      </c>
      <c r="I7" s="10" t="s">
        <v>20</v>
      </c>
      <c r="J7" s="10">
        <v>1</v>
      </c>
      <c r="K7" s="10" t="s">
        <v>86</v>
      </c>
      <c r="L7" s="10" t="s">
        <v>62</v>
      </c>
      <c r="M7" s="10" t="str">
        <f t="shared" si="0"/>
        <v>Dépôt CO</v>
      </c>
    </row>
    <row r="8" spans="1:13" hidden="1" x14ac:dyDescent="0.3">
      <c r="A8" s="10">
        <v>4972</v>
      </c>
      <c r="B8" s="10">
        <v>7</v>
      </c>
      <c r="C8" s="10" t="s">
        <v>138</v>
      </c>
      <c r="D8" s="16">
        <v>8284</v>
      </c>
      <c r="E8" s="16">
        <v>1</v>
      </c>
      <c r="F8" s="5" t="str">
        <f>IFERROR(INDEX(code!$B$10:$B$13, MATCH(CENTRE_TEST!$E$8, code!$A$10:$A$13, 0)), "")</f>
        <v>ARRIVEE</v>
      </c>
      <c r="G8" s="18" t="s">
        <v>74</v>
      </c>
      <c r="H8" s="10">
        <v>1</v>
      </c>
      <c r="I8" s="10" t="s">
        <v>20</v>
      </c>
      <c r="J8" s="10">
        <v>1</v>
      </c>
      <c r="K8" s="10" t="s">
        <v>87</v>
      </c>
      <c r="L8" s="10">
        <v>0.63333333333333297</v>
      </c>
      <c r="M8" s="10" t="str">
        <f t="shared" si="0"/>
        <v>Scan DNL et retour info</v>
      </c>
    </row>
    <row r="9" spans="1:13" hidden="1" x14ac:dyDescent="0.3">
      <c r="A9" s="10">
        <v>4973</v>
      </c>
      <c r="B9" s="10">
        <v>8</v>
      </c>
      <c r="C9" s="10" t="s">
        <v>138</v>
      </c>
      <c r="D9" s="16">
        <v>8284</v>
      </c>
      <c r="E9" s="16">
        <v>1</v>
      </c>
      <c r="F9" s="5" t="str">
        <f>IFERROR(INDEX(code!$B$10:$B$13, MATCH(CENTRE_TEST!$E$9, code!$A$10:$A$13, 0)), "")</f>
        <v>ARRIVEE</v>
      </c>
      <c r="G9" s="18" t="s">
        <v>74</v>
      </c>
      <c r="H9" s="10">
        <v>1</v>
      </c>
      <c r="I9" s="10" t="s">
        <v>20</v>
      </c>
      <c r="J9" s="10">
        <v>1</v>
      </c>
      <c r="K9" s="10" t="s">
        <v>66</v>
      </c>
      <c r="L9" s="10">
        <v>0.20499999999999999</v>
      </c>
      <c r="M9" s="10" t="str">
        <f t="shared" si="0"/>
        <v>Expédition</v>
      </c>
    </row>
    <row r="10" spans="1:13" hidden="1" x14ac:dyDescent="0.3">
      <c r="A10" s="10">
        <v>4974</v>
      </c>
      <c r="B10" s="10">
        <v>9</v>
      </c>
      <c r="C10" s="10" t="s">
        <v>138</v>
      </c>
      <c r="D10" s="16">
        <v>8284</v>
      </c>
      <c r="E10" s="16">
        <v>1</v>
      </c>
      <c r="F10" s="5" t="str">
        <f>IFERROR(INDEX(code!$B$10:$B$13, MATCH(CENTRE_TEST!$E$10, code!$A$10:$A$13, 0)), "")</f>
        <v>ARRIVEE</v>
      </c>
      <c r="G10" s="18" t="s">
        <v>74</v>
      </c>
      <c r="H10" s="10">
        <v>1</v>
      </c>
      <c r="I10" s="10" t="s">
        <v>20</v>
      </c>
      <c r="J10" s="10">
        <v>2</v>
      </c>
      <c r="K10" s="10" t="s">
        <v>98</v>
      </c>
      <c r="L10" s="10">
        <v>0.41166666666666701</v>
      </c>
      <c r="M10" s="10" t="str">
        <f t="shared" si="0"/>
        <v>Récupération facture MAG</v>
      </c>
    </row>
    <row r="11" spans="1:13" hidden="1" x14ac:dyDescent="0.3">
      <c r="A11" s="10">
        <v>4975</v>
      </c>
      <c r="B11" s="10">
        <v>10</v>
      </c>
      <c r="C11" s="10" t="s">
        <v>138</v>
      </c>
      <c r="D11" s="16">
        <v>8284</v>
      </c>
      <c r="E11" s="16">
        <v>1</v>
      </c>
      <c r="F11" s="5" t="str">
        <f>IFERROR(INDEX(code!$B$10:$B$13, MATCH(CENTRE_TEST!$E$11, code!$A$10:$A$13, 0)), "")</f>
        <v>ARRIVEE</v>
      </c>
      <c r="G11" s="18" t="s">
        <v>74</v>
      </c>
      <c r="H11" s="10">
        <v>1</v>
      </c>
      <c r="I11" s="10" t="s">
        <v>20</v>
      </c>
      <c r="J11" s="10">
        <v>1</v>
      </c>
      <c r="K11" s="10" t="s">
        <v>99</v>
      </c>
      <c r="L11" s="10" t="s">
        <v>62</v>
      </c>
      <c r="M11" s="10" t="str">
        <f t="shared" si="0"/>
        <v>Passation sur Registre</v>
      </c>
    </row>
    <row r="12" spans="1:13" hidden="1" x14ac:dyDescent="0.3">
      <c r="A12" s="10">
        <v>4976</v>
      </c>
      <c r="B12" s="10">
        <v>11</v>
      </c>
      <c r="C12" s="10" t="s">
        <v>138</v>
      </c>
      <c r="D12" s="16">
        <v>8284</v>
      </c>
      <c r="E12" s="16">
        <v>1</v>
      </c>
      <c r="F12" s="5" t="str">
        <f>IFERROR(INDEX(code!$B$10:$B$13, MATCH(CENTRE_TEST!$E$12, code!$A$10:$A$13, 0)), "")</f>
        <v>ARRIVEE</v>
      </c>
      <c r="G12" s="18" t="s">
        <v>74</v>
      </c>
      <c r="H12" s="10">
        <v>1</v>
      </c>
      <c r="I12" s="10" t="s">
        <v>20</v>
      </c>
      <c r="J12" s="10">
        <v>1</v>
      </c>
      <c r="K12" s="10" t="s">
        <v>70</v>
      </c>
      <c r="L12" s="10">
        <v>0.19</v>
      </c>
      <c r="M12" s="10" t="str">
        <f t="shared" si="0"/>
        <v>Edition PART</v>
      </c>
    </row>
    <row r="13" spans="1:13" hidden="1" x14ac:dyDescent="0.3">
      <c r="A13" s="10">
        <v>4977</v>
      </c>
      <c r="B13" s="10">
        <v>12</v>
      </c>
      <c r="C13" s="10" t="s">
        <v>139</v>
      </c>
      <c r="D13" s="16">
        <v>8285</v>
      </c>
      <c r="E13" s="16">
        <v>1</v>
      </c>
      <c r="F13" s="5" t="str">
        <f>IFERROR(INDEX(code!$B$10:$B$13, MATCH(CENTRE_TEST!$E$13, code!$A$10:$A$13, 0)), "")</f>
        <v>ARRIVEE</v>
      </c>
      <c r="G13" s="18" t="s">
        <v>44</v>
      </c>
      <c r="H13" s="10">
        <v>1</v>
      </c>
      <c r="I13" s="10" t="s">
        <v>20</v>
      </c>
      <c r="J13" s="10">
        <v>2</v>
      </c>
      <c r="K13" s="10" t="s">
        <v>50</v>
      </c>
      <c r="L13" s="10">
        <v>0.18</v>
      </c>
      <c r="M13" s="10" t="str">
        <f t="shared" si="0"/>
        <v>Tri &amp; Répartition entre : PP, GP</v>
      </c>
    </row>
    <row r="14" spans="1:13" hidden="1" x14ac:dyDescent="0.3">
      <c r="A14" s="10">
        <v>4978</v>
      </c>
      <c r="B14" s="10">
        <v>13</v>
      </c>
      <c r="C14" s="10" t="s">
        <v>139</v>
      </c>
      <c r="D14" s="16">
        <v>8285</v>
      </c>
      <c r="E14" s="16">
        <v>1</v>
      </c>
      <c r="F14" s="5" t="str">
        <f>IFERROR(INDEX(code!$B$10:$B$13, MATCH(CENTRE_TEST!$E$14, code!$A$10:$A$13, 0)), "")</f>
        <v>ARRIVEE</v>
      </c>
      <c r="G14" s="18" t="s">
        <v>76</v>
      </c>
      <c r="H14" s="10">
        <v>1</v>
      </c>
      <c r="I14" s="10" t="s">
        <v>20</v>
      </c>
      <c r="J14" s="10">
        <v>2</v>
      </c>
      <c r="K14" s="10" t="s">
        <v>80</v>
      </c>
      <c r="L14" s="10" t="s">
        <v>62</v>
      </c>
      <c r="M14" s="10" t="str">
        <f t="shared" si="0"/>
        <v>Tri Courrier</v>
      </c>
    </row>
    <row r="15" spans="1:13" hidden="1" x14ac:dyDescent="0.3">
      <c r="A15" s="10">
        <v>4979</v>
      </c>
      <c r="B15" s="10">
        <v>14</v>
      </c>
      <c r="C15" s="10" t="s">
        <v>140</v>
      </c>
      <c r="D15" s="16">
        <v>8288</v>
      </c>
      <c r="E15" s="16">
        <v>1</v>
      </c>
      <c r="F15" s="5" t="str">
        <f>IFERROR(INDEX(code!$B$10:$B$13, MATCH(CENTRE_TEST!$E$15, code!$A$10:$A$13, 0)), "")</f>
        <v>ARRIVEE</v>
      </c>
      <c r="G15" s="18">
        <v>0</v>
      </c>
      <c r="H15" s="10">
        <v>1</v>
      </c>
      <c r="I15" s="10" t="s">
        <v>25</v>
      </c>
      <c r="J15" s="10">
        <v>1</v>
      </c>
      <c r="K15" s="10" t="s">
        <v>102</v>
      </c>
      <c r="L15" s="10" t="s">
        <v>62</v>
      </c>
      <c r="M15" s="10" t="str">
        <f t="shared" si="0"/>
        <v>Etat de la caisse</v>
      </c>
    </row>
    <row r="16" spans="1:13" hidden="1" x14ac:dyDescent="0.3">
      <c r="A16" s="10">
        <v>4980</v>
      </c>
      <c r="B16" s="10">
        <v>15</v>
      </c>
      <c r="C16" s="10" t="s">
        <v>140</v>
      </c>
      <c r="D16" s="16">
        <v>8288</v>
      </c>
      <c r="E16" s="16">
        <v>1</v>
      </c>
      <c r="F16" s="5" t="str">
        <f>IFERROR(INDEX(code!$B$10:$B$13, MATCH(CENTRE_TEST!$E$16, code!$A$10:$A$13, 0)), "")</f>
        <v>ARRIVEE</v>
      </c>
      <c r="G16" s="18">
        <v>0</v>
      </c>
      <c r="H16" s="10">
        <v>1</v>
      </c>
      <c r="I16" s="10" t="s">
        <v>25</v>
      </c>
      <c r="J16" s="10">
        <v>1</v>
      </c>
      <c r="K16" s="10" t="s">
        <v>103</v>
      </c>
      <c r="L16" s="10">
        <v>5</v>
      </c>
      <c r="M16" s="10" t="str">
        <f t="shared" si="0"/>
        <v>BP Intélligente</v>
      </c>
    </row>
    <row r="17" spans="1:13" hidden="1" x14ac:dyDescent="0.3">
      <c r="A17" s="10">
        <v>4981</v>
      </c>
      <c r="B17" s="10">
        <v>16</v>
      </c>
      <c r="C17" s="10" t="s">
        <v>140</v>
      </c>
      <c r="D17" s="16">
        <v>8288</v>
      </c>
      <c r="E17" s="16">
        <v>1</v>
      </c>
      <c r="F17" s="5" t="str">
        <f>IFERROR(INDEX(code!$B$10:$B$13, MATCH(CENTRE_TEST!$E$17, code!$A$10:$A$13, 0)), "")</f>
        <v>ARRIVEE</v>
      </c>
      <c r="G17" s="18">
        <v>0</v>
      </c>
      <c r="H17" s="10">
        <v>1</v>
      </c>
      <c r="I17" s="10" t="s">
        <v>25</v>
      </c>
      <c r="J17" s="10">
        <v>1</v>
      </c>
      <c r="K17" s="10" t="s">
        <v>104</v>
      </c>
      <c r="L17" s="10">
        <v>5</v>
      </c>
      <c r="M17" s="10" t="str">
        <f t="shared" si="0"/>
        <v>Suivi rélaisations commerciales</v>
      </c>
    </row>
    <row r="18" spans="1:13" hidden="1" x14ac:dyDescent="0.3">
      <c r="A18" s="10">
        <v>4982</v>
      </c>
      <c r="B18" s="10">
        <v>17</v>
      </c>
      <c r="C18" s="10" t="s">
        <v>140</v>
      </c>
      <c r="D18" s="16">
        <v>8288</v>
      </c>
      <c r="E18" s="16">
        <v>1</v>
      </c>
      <c r="F18" s="5" t="str">
        <f>IFERROR(INDEX(code!$B$10:$B$13, MATCH(CENTRE_TEST!$E$18, code!$A$10:$A$13, 0)), "")</f>
        <v>ARRIVEE</v>
      </c>
      <c r="G18" s="18">
        <v>0</v>
      </c>
      <c r="H18" s="10">
        <v>1</v>
      </c>
      <c r="I18" s="10" t="s">
        <v>25</v>
      </c>
      <c r="J18" s="10">
        <v>1</v>
      </c>
      <c r="K18" s="10" t="s">
        <v>105</v>
      </c>
      <c r="L18" s="10" t="s">
        <v>62</v>
      </c>
      <c r="M18" s="10" t="str">
        <f t="shared" si="0"/>
        <v>Canevas HS</v>
      </c>
    </row>
    <row r="19" spans="1:13" hidden="1" x14ac:dyDescent="0.3">
      <c r="A19" s="10">
        <v>4983</v>
      </c>
      <c r="B19" s="10">
        <v>18</v>
      </c>
      <c r="C19" s="10" t="s">
        <v>140</v>
      </c>
      <c r="D19" s="16">
        <v>8288</v>
      </c>
      <c r="E19" s="16">
        <v>1</v>
      </c>
      <c r="F19" s="5" t="str">
        <f>IFERROR(INDEX(code!$B$10:$B$13, MATCH(CENTRE_TEST!$E$19, code!$A$10:$A$13, 0)), "")</f>
        <v>ARRIVEE</v>
      </c>
      <c r="G19" s="18">
        <v>0</v>
      </c>
      <c r="H19" s="10">
        <v>1</v>
      </c>
      <c r="I19" s="10" t="s">
        <v>25</v>
      </c>
      <c r="J19" s="10">
        <v>1</v>
      </c>
      <c r="K19" s="10" t="s">
        <v>106</v>
      </c>
      <c r="L19" s="10" t="s">
        <v>62</v>
      </c>
      <c r="M19" s="10" t="str">
        <f t="shared" si="0"/>
        <v>Pointag intérimaires</v>
      </c>
    </row>
    <row r="20" spans="1:13" hidden="1" x14ac:dyDescent="0.3">
      <c r="A20" s="10">
        <v>4984</v>
      </c>
      <c r="B20" s="10">
        <v>19</v>
      </c>
      <c r="C20" s="10" t="s">
        <v>140</v>
      </c>
      <c r="D20" s="16">
        <v>8288</v>
      </c>
      <c r="E20" s="16">
        <v>1</v>
      </c>
      <c r="F20" s="5" t="str">
        <f>IFERROR(INDEX(code!$B$10:$B$13, MATCH(CENTRE_TEST!$E$20, code!$A$10:$A$13, 0)), "")</f>
        <v>ARRIVEE</v>
      </c>
      <c r="G20" s="18">
        <v>0</v>
      </c>
      <c r="H20" s="10">
        <v>1</v>
      </c>
      <c r="I20" s="10" t="s">
        <v>25</v>
      </c>
      <c r="J20" s="10">
        <v>1</v>
      </c>
      <c r="K20" s="10" t="s">
        <v>107</v>
      </c>
      <c r="L20" s="10" t="s">
        <v>62</v>
      </c>
      <c r="M20" s="10" t="str">
        <f t="shared" si="0"/>
        <v>Suivi Gardiennage et femmes de ménage</v>
      </c>
    </row>
    <row r="21" spans="1:13" hidden="1" x14ac:dyDescent="0.3">
      <c r="A21" s="10">
        <v>4985</v>
      </c>
      <c r="B21" s="10">
        <v>20</v>
      </c>
      <c r="C21" s="10" t="s">
        <v>140</v>
      </c>
      <c r="D21" s="16">
        <v>8288</v>
      </c>
      <c r="E21" s="16">
        <v>1</v>
      </c>
      <c r="F21" s="5" t="str">
        <f>IFERROR(INDEX(code!$B$10:$B$13, MATCH(CENTRE_TEST!$E$21, code!$A$10:$A$13, 0)), "")</f>
        <v>ARRIVEE</v>
      </c>
      <c r="G21" s="18">
        <v>0</v>
      </c>
      <c r="H21" s="10">
        <v>1</v>
      </c>
      <c r="I21" s="10" t="s">
        <v>25</v>
      </c>
      <c r="J21" s="10">
        <v>1</v>
      </c>
      <c r="K21" s="10" t="s">
        <v>108</v>
      </c>
      <c r="L21" s="10" t="s">
        <v>62</v>
      </c>
      <c r="M21" s="10" t="str">
        <f t="shared" si="0"/>
        <v>Suivi des absences</v>
      </c>
    </row>
    <row r="22" spans="1:13" hidden="1" x14ac:dyDescent="0.3">
      <c r="A22" s="10">
        <v>4986</v>
      </c>
      <c r="B22" s="10">
        <v>21</v>
      </c>
      <c r="C22" s="10" t="s">
        <v>140</v>
      </c>
      <c r="D22" s="16">
        <v>8288</v>
      </c>
      <c r="E22" s="16">
        <v>1</v>
      </c>
      <c r="F22" s="5" t="str">
        <f>IFERROR(INDEX(code!$B$10:$B$13, MATCH(CENTRE_TEST!$E$22, code!$A$10:$A$13, 0)), "")</f>
        <v>ARRIVEE</v>
      </c>
      <c r="G22" s="18">
        <v>0</v>
      </c>
      <c r="H22" s="10">
        <v>1</v>
      </c>
      <c r="I22" s="10" t="s">
        <v>25</v>
      </c>
      <c r="J22" s="10">
        <v>2</v>
      </c>
      <c r="K22" s="10" t="s">
        <v>109</v>
      </c>
      <c r="L22" s="10" t="s">
        <v>62</v>
      </c>
      <c r="M22" s="10" t="str">
        <f t="shared" si="0"/>
        <v>Rapport Activité (Echantillonnage pour vérifer statut, poids, contact…</v>
      </c>
    </row>
    <row r="23" spans="1:13" x14ac:dyDescent="0.3">
      <c r="A23" s="10">
        <v>4987</v>
      </c>
      <c r="B23" s="10">
        <v>22</v>
      </c>
      <c r="C23" s="10" t="s">
        <v>141</v>
      </c>
      <c r="D23" s="16">
        <v>8286</v>
      </c>
      <c r="E23" s="16">
        <v>1</v>
      </c>
      <c r="F23" s="5" t="str">
        <f>IFERROR(INDEX(code!$B$10:$B$13, MATCH(CENTRE_TEST!$E$23, code!$A$10:$A$13, 0)), "")</f>
        <v>ARRIVEE</v>
      </c>
      <c r="G23" s="18" t="s">
        <v>44</v>
      </c>
      <c r="H23" s="10">
        <v>1</v>
      </c>
      <c r="I23" s="10" t="s">
        <v>20</v>
      </c>
      <c r="J23" s="10">
        <v>1</v>
      </c>
      <c r="K23" s="10" t="s">
        <v>45</v>
      </c>
      <c r="L23" s="10">
        <v>0.2</v>
      </c>
      <c r="M23" s="10" t="str">
        <f t="shared" si="0"/>
        <v>Déchargement VAN Colis</v>
      </c>
    </row>
    <row r="24" spans="1:13" x14ac:dyDescent="0.3">
      <c r="A24" s="10">
        <v>4988</v>
      </c>
      <c r="B24" s="10">
        <v>23</v>
      </c>
      <c r="C24" s="10" t="s">
        <v>141</v>
      </c>
      <c r="D24" s="16">
        <v>8286</v>
      </c>
      <c r="E24" s="16">
        <v>1</v>
      </c>
      <c r="F24" s="5" t="str">
        <f>IFERROR(INDEX(code!$B$10:$B$13, MATCH(CENTRE_TEST!$E$24, code!$A$10:$A$13, 0)), "")</f>
        <v>ARRIVEE</v>
      </c>
      <c r="G24" s="18" t="s">
        <v>46</v>
      </c>
      <c r="H24" s="10">
        <v>1</v>
      </c>
      <c r="I24" s="10" t="s">
        <v>20</v>
      </c>
      <c r="J24" s="10">
        <v>1</v>
      </c>
      <c r="K24" s="10" t="s">
        <v>47</v>
      </c>
      <c r="L24" s="10">
        <v>0.2</v>
      </c>
      <c r="M24" s="10" t="str">
        <f t="shared" si="0"/>
        <v>Déchargement VAN Sac</v>
      </c>
    </row>
    <row r="25" spans="1:13" x14ac:dyDescent="0.3">
      <c r="A25" s="10">
        <v>4989</v>
      </c>
      <c r="B25" s="10">
        <v>24</v>
      </c>
      <c r="C25" s="10" t="s">
        <v>141</v>
      </c>
      <c r="D25" s="16">
        <v>8286</v>
      </c>
      <c r="E25" s="16">
        <v>1</v>
      </c>
      <c r="F25" s="5" t="str">
        <f>IFERROR(INDEX(code!$B$10:$B$13, MATCH(CENTRE_TEST!$E$25, code!$A$10:$A$13, 0)), "")</f>
        <v>ARRIVEE</v>
      </c>
      <c r="G25" s="18" t="s">
        <v>46</v>
      </c>
      <c r="H25" s="10">
        <v>1</v>
      </c>
      <c r="I25" s="10" t="s">
        <v>20</v>
      </c>
      <c r="J25" s="10">
        <v>1</v>
      </c>
      <c r="K25" s="10" t="s">
        <v>48</v>
      </c>
      <c r="L25" s="10">
        <v>0.64500000000000002</v>
      </c>
      <c r="M25" s="10" t="str">
        <f t="shared" si="0"/>
        <v>Ouverture sac</v>
      </c>
    </row>
    <row r="26" spans="1:13" x14ac:dyDescent="0.3">
      <c r="A26" s="10">
        <v>4990</v>
      </c>
      <c r="B26" s="10">
        <v>25</v>
      </c>
      <c r="C26" s="10" t="s">
        <v>141</v>
      </c>
      <c r="D26" s="16">
        <v>8286</v>
      </c>
      <c r="E26" s="16">
        <v>1</v>
      </c>
      <c r="F26" s="5" t="str">
        <f>IFERROR(INDEX(code!$B$10:$B$13, MATCH(CENTRE_TEST!$E$26, code!$A$10:$A$13, 0)), "")</f>
        <v>ARRIVEE</v>
      </c>
      <c r="G26" s="18" t="s">
        <v>46</v>
      </c>
      <c r="H26" s="10">
        <v>1</v>
      </c>
      <c r="I26" s="10" t="s">
        <v>20</v>
      </c>
      <c r="J26" s="10">
        <v>1</v>
      </c>
      <c r="K26" s="10" t="s">
        <v>49</v>
      </c>
      <c r="L26" s="10">
        <v>0.02</v>
      </c>
      <c r="M26" s="10" t="str">
        <f t="shared" si="0"/>
        <v>vidage sac</v>
      </c>
    </row>
    <row r="27" spans="1:13" x14ac:dyDescent="0.3">
      <c r="A27" s="10">
        <v>4991</v>
      </c>
      <c r="B27" s="10">
        <v>26</v>
      </c>
      <c r="C27" s="10" t="s">
        <v>141</v>
      </c>
      <c r="D27" s="16">
        <v>8286</v>
      </c>
      <c r="E27" s="16">
        <v>1</v>
      </c>
      <c r="F27" s="5" t="str">
        <f>IFERROR(INDEX(code!$B$10:$B$13, MATCH(CENTRE_TEST!$E$27, code!$A$10:$A$13, 0)), "")</f>
        <v>ARRIVEE</v>
      </c>
      <c r="G27" s="18" t="s">
        <v>44</v>
      </c>
      <c r="H27" s="10">
        <v>1</v>
      </c>
      <c r="I27" s="10" t="s">
        <v>20</v>
      </c>
      <c r="J27" s="10">
        <v>1</v>
      </c>
      <c r="K27" s="10" t="s">
        <v>51</v>
      </c>
      <c r="L27" s="10">
        <v>3.3333333333333298E-2</v>
      </c>
      <c r="M27" s="10" t="str">
        <f t="shared" si="0"/>
        <v>Scan &amp; Réception SI</v>
      </c>
    </row>
    <row r="28" spans="1:13" x14ac:dyDescent="0.3">
      <c r="A28" s="10">
        <v>4992</v>
      </c>
      <c r="B28" s="10">
        <v>27</v>
      </c>
      <c r="C28" s="10" t="s">
        <v>141</v>
      </c>
      <c r="D28" s="16">
        <v>8286</v>
      </c>
      <c r="E28" s="16">
        <v>1</v>
      </c>
      <c r="F28" s="5" t="str">
        <f>IFERROR(INDEX(code!$B$10:$B$13, MATCH(CENTRE_TEST!$E$28, code!$A$10:$A$13, 0)), "")</f>
        <v>ARRIVEE</v>
      </c>
      <c r="G28" s="18" t="s">
        <v>44</v>
      </c>
      <c r="H28" s="10">
        <v>1</v>
      </c>
      <c r="I28" s="10" t="s">
        <v>20</v>
      </c>
      <c r="J28" s="10">
        <v>1</v>
      </c>
      <c r="K28" s="10" t="s">
        <v>52</v>
      </c>
      <c r="L28" s="10">
        <v>3.3333333333333298E-2</v>
      </c>
      <c r="M28" s="10" t="str">
        <f t="shared" si="0"/>
        <v>Enregistrement sur PART 125</v>
      </c>
    </row>
    <row r="29" spans="1:13" x14ac:dyDescent="0.3">
      <c r="A29" s="10">
        <v>4993</v>
      </c>
      <c r="B29" s="10">
        <v>30</v>
      </c>
      <c r="C29" s="10" t="s">
        <v>141</v>
      </c>
      <c r="D29" s="16">
        <v>8286</v>
      </c>
      <c r="E29" s="16">
        <v>1</v>
      </c>
      <c r="F29" s="5" t="str">
        <f>IFERROR(INDEX(code!$B$10:$B$13, MATCH(CENTRE_TEST!$E$29, code!$A$10:$A$13, 0)), "")</f>
        <v>ARRIVEE</v>
      </c>
      <c r="G29" s="18" t="s">
        <v>44</v>
      </c>
      <c r="H29" s="10">
        <v>2</v>
      </c>
      <c r="I29" s="10" t="s">
        <v>20</v>
      </c>
      <c r="J29" s="10">
        <v>2</v>
      </c>
      <c r="K29" s="10" t="s">
        <v>53</v>
      </c>
      <c r="L29" s="10">
        <v>0.24666666666666701</v>
      </c>
      <c r="M29" s="10" t="str">
        <f t="shared" si="0"/>
        <v>Affectation Guichet</v>
      </c>
    </row>
    <row r="30" spans="1:13" x14ac:dyDescent="0.3">
      <c r="A30" s="10">
        <v>4994</v>
      </c>
      <c r="B30" s="10">
        <v>31</v>
      </c>
      <c r="C30" s="10" t="s">
        <v>141</v>
      </c>
      <c r="D30" s="16">
        <v>8286</v>
      </c>
      <c r="E30" s="16">
        <v>3</v>
      </c>
      <c r="F30" s="5" t="str">
        <f>IFERROR(INDEX(code!$B$10:$B$13, MATCH(CENTRE_TEST!$E$29, code!$A$10:$A$13, 0)), "")</f>
        <v>ARRIVEE</v>
      </c>
      <c r="G30" s="18" t="s">
        <v>44</v>
      </c>
      <c r="H30" s="10">
        <v>3</v>
      </c>
      <c r="I30" s="10" t="s">
        <v>20</v>
      </c>
      <c r="J30" s="10">
        <v>2</v>
      </c>
      <c r="K30" s="10" t="s">
        <v>54</v>
      </c>
      <c r="L30" s="10">
        <v>0.02</v>
      </c>
      <c r="M30" s="10" t="str">
        <f t="shared" si="0"/>
        <v>Remise avisés au guichet</v>
      </c>
    </row>
    <row r="31" spans="1:13" x14ac:dyDescent="0.3">
      <c r="A31" s="10">
        <v>4995</v>
      </c>
      <c r="B31" s="10">
        <v>32</v>
      </c>
      <c r="C31" s="10" t="s">
        <v>141</v>
      </c>
      <c r="D31" s="16">
        <v>8286</v>
      </c>
      <c r="E31" s="16">
        <v>4</v>
      </c>
      <c r="F31" s="5" t="str">
        <f>IFERROR(INDEX(code!$B$10:$B$13, MATCH(CENTRE_TEST!$E$29, code!$A$10:$A$13, 0)), "")</f>
        <v>ARRIVEE</v>
      </c>
      <c r="G31" s="18" t="s">
        <v>44</v>
      </c>
      <c r="H31" s="10">
        <v>2</v>
      </c>
      <c r="I31" s="10" t="s">
        <v>20</v>
      </c>
      <c r="J31" s="10">
        <v>2</v>
      </c>
      <c r="K31" s="10" t="s">
        <v>55</v>
      </c>
      <c r="L31" s="10">
        <v>0.4</v>
      </c>
      <c r="M31" s="10" t="str">
        <f t="shared" si="0"/>
        <v>Préparatin fichier excel</v>
      </c>
    </row>
    <row r="32" spans="1:13" x14ac:dyDescent="0.3">
      <c r="A32" s="10">
        <v>4996</v>
      </c>
      <c r="B32" s="10">
        <v>33</v>
      </c>
      <c r="C32" s="10" t="s">
        <v>141</v>
      </c>
      <c r="D32" s="16">
        <v>8286</v>
      </c>
      <c r="E32" s="16">
        <v>1</v>
      </c>
      <c r="F32" s="5" t="str">
        <f>IFERROR(INDEX(code!$B$10:$B$13, MATCH(CENTRE_TEST!$E$29, code!$A$10:$A$13, 0)), "")</f>
        <v>ARRIVEE</v>
      </c>
      <c r="G32" s="18" t="s">
        <v>44</v>
      </c>
      <c r="H32" s="10">
        <v>2</v>
      </c>
      <c r="I32" s="10" t="s">
        <v>20</v>
      </c>
      <c r="J32" s="10">
        <v>1</v>
      </c>
      <c r="K32" s="10" t="s">
        <v>56</v>
      </c>
      <c r="L32" s="10">
        <v>5.0000000000000001E-3</v>
      </c>
      <c r="M32" s="10" t="str">
        <f t="shared" si="0"/>
        <v>Scan et édition DNL</v>
      </c>
    </row>
    <row r="33" spans="1:13" x14ac:dyDescent="0.3">
      <c r="A33" s="10">
        <v>4997</v>
      </c>
      <c r="B33" s="10">
        <v>34</v>
      </c>
      <c r="C33" s="10" t="s">
        <v>141</v>
      </c>
      <c r="D33" s="16">
        <v>8286</v>
      </c>
      <c r="E33" s="16">
        <v>1</v>
      </c>
      <c r="F33" s="5" t="str">
        <f>IFERROR(INDEX(code!$B$10:$B$13, MATCH(CENTRE_TEST!$E$29, code!$A$10:$A$13, 0)), "")</f>
        <v>ARRIVEE</v>
      </c>
      <c r="G33" s="18" t="s">
        <v>44</v>
      </c>
      <c r="H33" s="10">
        <v>2</v>
      </c>
      <c r="I33" s="10" t="s">
        <v>20</v>
      </c>
      <c r="J33" s="10">
        <v>1</v>
      </c>
      <c r="K33" s="10" t="s">
        <v>59</v>
      </c>
      <c r="L33" s="10">
        <v>0.01</v>
      </c>
      <c r="M33" s="10" t="str">
        <f t="shared" si="0"/>
        <v>Etat Levée</v>
      </c>
    </row>
    <row r="34" spans="1:13" x14ac:dyDescent="0.3">
      <c r="A34" s="10">
        <v>4998</v>
      </c>
      <c r="B34" s="10">
        <v>35</v>
      </c>
      <c r="C34" s="10" t="s">
        <v>141</v>
      </c>
      <c r="D34" s="16">
        <v>8286</v>
      </c>
      <c r="E34" s="16">
        <v>1</v>
      </c>
      <c r="F34" s="5" t="str">
        <f>IFERROR(INDEX(code!$B$10:$B$13, MATCH(CENTRE_TEST!$E$29, code!$A$10:$A$13, 0)), "")</f>
        <v>ARRIVEE</v>
      </c>
      <c r="G34" s="18" t="s">
        <v>44</v>
      </c>
      <c r="H34" s="10">
        <v>2</v>
      </c>
      <c r="I34" s="10" t="s">
        <v>20</v>
      </c>
      <c r="J34" s="10">
        <v>1</v>
      </c>
      <c r="K34" s="10" t="s">
        <v>60</v>
      </c>
      <c r="L34" s="10">
        <v>0.35666666666666702</v>
      </c>
      <c r="M34" s="10" t="str">
        <f t="shared" si="0"/>
        <v>Récupération Physique colis</v>
      </c>
    </row>
    <row r="35" spans="1:13" x14ac:dyDescent="0.3">
      <c r="A35" s="10">
        <v>4999</v>
      </c>
      <c r="B35" s="10">
        <v>36</v>
      </c>
      <c r="C35" s="10" t="s">
        <v>141</v>
      </c>
      <c r="D35" s="16">
        <v>8286</v>
      </c>
      <c r="E35" s="16">
        <v>4</v>
      </c>
      <c r="F35" s="5" t="str">
        <f>IFERROR(INDEX(code!$B$10:$B$13, MATCH(CENTRE_TEST!$E$29, code!$A$10:$A$13, 0)), "")</f>
        <v>ARRIVEE</v>
      </c>
      <c r="G35" s="18" t="s">
        <v>44</v>
      </c>
      <c r="H35" s="10">
        <v>3</v>
      </c>
      <c r="I35" s="10" t="s">
        <v>20</v>
      </c>
      <c r="J35" s="10">
        <v>1</v>
      </c>
      <c r="K35" s="10" t="s">
        <v>61</v>
      </c>
      <c r="L35" s="10" t="s">
        <v>62</v>
      </c>
      <c r="M35" s="10" t="str">
        <f t="shared" si="0"/>
        <v>Passation Vs Guichet</v>
      </c>
    </row>
    <row r="36" spans="1:13" x14ac:dyDescent="0.3">
      <c r="A36" s="10">
        <v>5000</v>
      </c>
      <c r="B36" s="10">
        <v>37</v>
      </c>
      <c r="C36" s="10" t="s">
        <v>141</v>
      </c>
      <c r="D36" s="16">
        <v>8286</v>
      </c>
      <c r="E36" s="16">
        <v>1</v>
      </c>
      <c r="F36" s="5" t="str">
        <f>IFERROR(INDEX(code!$B$10:$B$13, MATCH(CENTRE_TEST!$E$29, code!$A$10:$A$13, 0)), "")</f>
        <v>ARRIVEE</v>
      </c>
      <c r="G36" s="18" t="s">
        <v>44</v>
      </c>
      <c r="H36" s="10">
        <v>3</v>
      </c>
      <c r="I36" s="10" t="s">
        <v>20</v>
      </c>
      <c r="J36" s="10">
        <v>1</v>
      </c>
      <c r="K36" s="10" t="s">
        <v>63</v>
      </c>
      <c r="L36" s="10">
        <v>0.16</v>
      </c>
      <c r="M36" s="10" t="str">
        <f t="shared" si="0"/>
        <v>Réception</v>
      </c>
    </row>
    <row r="37" spans="1:13" x14ac:dyDescent="0.3">
      <c r="A37" s="10">
        <v>5001</v>
      </c>
      <c r="B37" s="10">
        <v>38</v>
      </c>
      <c r="C37" s="10" t="s">
        <v>141</v>
      </c>
      <c r="D37" s="16">
        <v>8286</v>
      </c>
      <c r="E37" s="16">
        <v>1</v>
      </c>
      <c r="F37" s="5" t="str">
        <f>IFERROR(INDEX(code!$B$10:$B$13, MATCH(CENTRE_TEST!$E$29, code!$A$10:$A$13, 0)), "")</f>
        <v>ARRIVEE</v>
      </c>
      <c r="G37" s="18" t="s">
        <v>44</v>
      </c>
      <c r="H37" s="10">
        <v>3</v>
      </c>
      <c r="I37" s="10" t="s">
        <v>20</v>
      </c>
      <c r="J37" s="10">
        <v>2</v>
      </c>
      <c r="K37" s="10" t="s">
        <v>64</v>
      </c>
      <c r="L37" s="10" t="s">
        <v>62</v>
      </c>
      <c r="M37" s="10" t="str">
        <f t="shared" si="0"/>
        <v>Numérotage</v>
      </c>
    </row>
    <row r="38" spans="1:13" x14ac:dyDescent="0.3">
      <c r="A38" s="10">
        <v>5002</v>
      </c>
      <c r="B38" s="10">
        <v>39</v>
      </c>
      <c r="C38" s="10" t="s">
        <v>141</v>
      </c>
      <c r="D38" s="16">
        <v>8286</v>
      </c>
      <c r="E38" s="16">
        <v>4</v>
      </c>
      <c r="F38" s="5" t="str">
        <f>IFERROR(INDEX(code!$B$10:$B$13, MATCH(CENTRE_TEST!$E$29, code!$A$10:$A$13, 0)), "")</f>
        <v>ARRIVEE</v>
      </c>
      <c r="G38" s="18" t="s">
        <v>44</v>
      </c>
      <c r="H38" s="10">
        <v>3</v>
      </c>
      <c r="I38" s="10" t="s">
        <v>20</v>
      </c>
      <c r="J38" s="10">
        <v>1</v>
      </c>
      <c r="K38" s="10" t="s">
        <v>65</v>
      </c>
      <c r="L38" s="10">
        <v>0.198333333333333</v>
      </c>
      <c r="M38" s="10" t="str">
        <f t="shared" si="0"/>
        <v>Mise en sac</v>
      </c>
    </row>
    <row r="39" spans="1:13" x14ac:dyDescent="0.3">
      <c r="A39" s="10">
        <v>5003</v>
      </c>
      <c r="B39" s="10">
        <v>40</v>
      </c>
      <c r="C39" s="10" t="s">
        <v>141</v>
      </c>
      <c r="D39" s="16">
        <v>8286</v>
      </c>
      <c r="E39" s="16">
        <v>4</v>
      </c>
      <c r="F39" s="5" t="str">
        <f>IFERROR(INDEX(code!$B$10:$B$13, MATCH(CENTRE_TEST!$E$29, code!$A$10:$A$13, 0)), "")</f>
        <v>ARRIVEE</v>
      </c>
      <c r="G39" s="18" t="s">
        <v>44</v>
      </c>
      <c r="H39" s="10">
        <v>3</v>
      </c>
      <c r="I39" s="10" t="s">
        <v>20</v>
      </c>
      <c r="J39" s="10">
        <v>3</v>
      </c>
      <c r="K39" s="10" t="s">
        <v>66</v>
      </c>
      <c r="L39" s="10">
        <v>0.16666666666666699</v>
      </c>
      <c r="M39" s="10" t="str">
        <f t="shared" si="0"/>
        <v>Expédition</v>
      </c>
    </row>
    <row r="40" spans="1:13" x14ac:dyDescent="0.3">
      <c r="A40" s="10">
        <v>5004</v>
      </c>
      <c r="B40" s="10">
        <v>41</v>
      </c>
      <c r="C40" s="10" t="s">
        <v>141</v>
      </c>
      <c r="D40" s="16">
        <v>8286</v>
      </c>
      <c r="E40" s="16">
        <v>3</v>
      </c>
      <c r="F40" s="5" t="str">
        <f>IFERROR(INDEX(code!$B$10:$B$13, MATCH(CENTRE_TEST!$E$29, code!$A$10:$A$13, 0)), "")</f>
        <v>ARRIVEE</v>
      </c>
      <c r="G40" s="18" t="s">
        <v>44</v>
      </c>
      <c r="H40" s="10">
        <v>3</v>
      </c>
      <c r="I40" s="10" t="s">
        <v>20</v>
      </c>
      <c r="J40" s="10">
        <v>1</v>
      </c>
      <c r="K40" s="10" t="s">
        <v>67</v>
      </c>
      <c r="L40" s="10">
        <v>0.21666666666666701</v>
      </c>
      <c r="M40" s="10" t="str">
        <f t="shared" si="0"/>
        <v>classement en cabine instance</v>
      </c>
    </row>
    <row r="41" spans="1:13" x14ac:dyDescent="0.3">
      <c r="A41" s="10">
        <v>5005</v>
      </c>
      <c r="B41" s="10">
        <v>42</v>
      </c>
      <c r="C41" s="10" t="s">
        <v>141</v>
      </c>
      <c r="D41" s="16">
        <v>8286</v>
      </c>
      <c r="E41" s="16">
        <v>1</v>
      </c>
      <c r="F41" s="5" t="str">
        <f>IFERROR(INDEX(code!$B$10:$B$13, MATCH(CENTRE_TEST!$E$29, code!$A$10:$A$13, 0)), "")</f>
        <v>ARRIVEE</v>
      </c>
      <c r="G41" s="18" t="s">
        <v>44</v>
      </c>
      <c r="H41" s="10">
        <v>3</v>
      </c>
      <c r="I41" s="10" t="s">
        <v>20</v>
      </c>
      <c r="J41" s="10">
        <v>1</v>
      </c>
      <c r="K41" s="10" t="s">
        <v>68</v>
      </c>
      <c r="L41" s="10">
        <v>0.4</v>
      </c>
      <c r="M41" s="10" t="str">
        <f t="shared" si="0"/>
        <v>contrôle physique</v>
      </c>
    </row>
    <row r="42" spans="1:13" x14ac:dyDescent="0.3">
      <c r="A42" s="10">
        <v>5006</v>
      </c>
      <c r="B42" s="10">
        <v>43</v>
      </c>
      <c r="C42" s="10" t="s">
        <v>141</v>
      </c>
      <c r="D42" s="16">
        <v>8286</v>
      </c>
      <c r="E42" s="16">
        <v>1</v>
      </c>
      <c r="F42" s="5" t="str">
        <f>IFERROR(INDEX(code!$B$10:$B$13, MATCH(CENTRE_TEST!$E$29, code!$A$10:$A$13, 0)), "")</f>
        <v>ARRIVEE</v>
      </c>
      <c r="G42" s="18" t="s">
        <v>44</v>
      </c>
      <c r="H42" s="10">
        <v>3</v>
      </c>
      <c r="I42" s="10" t="s">
        <v>20</v>
      </c>
      <c r="J42" s="10">
        <v>2</v>
      </c>
      <c r="K42" s="10" t="s">
        <v>69</v>
      </c>
      <c r="L42" s="10">
        <v>0.176666666666667</v>
      </c>
      <c r="M42" s="10" t="str">
        <f t="shared" si="0"/>
        <v>création dépeche</v>
      </c>
    </row>
    <row r="43" spans="1:13" x14ac:dyDescent="0.3">
      <c r="A43" s="10">
        <v>5007</v>
      </c>
      <c r="B43" s="10">
        <v>45</v>
      </c>
      <c r="C43" s="10" t="s">
        <v>141</v>
      </c>
      <c r="D43" s="16">
        <v>8286</v>
      </c>
      <c r="E43" s="16">
        <v>1</v>
      </c>
      <c r="F43" s="5" t="str">
        <f>IFERROR(INDEX(code!$B$10:$B$13, MATCH(CENTRE_TEST!$E$29, code!$A$10:$A$13, 0)), "")</f>
        <v>ARRIVEE</v>
      </c>
      <c r="G43" s="18" t="s">
        <v>44</v>
      </c>
      <c r="H43" s="10">
        <v>2</v>
      </c>
      <c r="I43" s="10" t="s">
        <v>20</v>
      </c>
      <c r="J43" s="10">
        <v>2</v>
      </c>
      <c r="K43" s="10" t="s">
        <v>70</v>
      </c>
      <c r="L43" s="10">
        <v>3.1666666666666697E-2</v>
      </c>
      <c r="M43" s="10" t="str">
        <f t="shared" si="0"/>
        <v>Edition PART</v>
      </c>
    </row>
    <row r="44" spans="1:13" x14ac:dyDescent="0.3">
      <c r="A44" s="10">
        <v>5008</v>
      </c>
      <c r="B44" s="10">
        <v>46</v>
      </c>
      <c r="C44" s="10" t="s">
        <v>141</v>
      </c>
      <c r="D44" s="16">
        <v>8286</v>
      </c>
      <c r="E44" s="16">
        <v>1</v>
      </c>
      <c r="F44" s="5" t="str">
        <f>IFERROR(INDEX(code!$B$10:$B$13, MATCH(CENTRE_TEST!$E$29, code!$A$10:$A$13, 0)), "")</f>
        <v>ARRIVEE</v>
      </c>
      <c r="G44" s="18" t="s">
        <v>46</v>
      </c>
      <c r="H44" s="10">
        <v>2</v>
      </c>
      <c r="I44" s="10" t="s">
        <v>20</v>
      </c>
      <c r="J44" s="10">
        <v>1</v>
      </c>
      <c r="K44" s="10" t="s">
        <v>71</v>
      </c>
      <c r="L44" s="10">
        <v>0.18</v>
      </c>
      <c r="M44" s="10" t="str">
        <f t="shared" si="0"/>
        <v>fermeture sac</v>
      </c>
    </row>
    <row r="45" spans="1:13" x14ac:dyDescent="0.3">
      <c r="A45" s="10">
        <v>5009</v>
      </c>
      <c r="B45" s="10">
        <v>47</v>
      </c>
      <c r="C45" s="10" t="s">
        <v>141</v>
      </c>
      <c r="D45" s="16">
        <v>8286</v>
      </c>
      <c r="E45" s="16">
        <v>1</v>
      </c>
      <c r="F45" s="5" t="str">
        <f>IFERROR(INDEX(code!$B$10:$B$13, MATCH(CENTRE_TEST!$E$45, code!$A$10:$A$13, 0)), "")</f>
        <v>ARRIVEE</v>
      </c>
      <c r="G45" s="18" t="s">
        <v>44</v>
      </c>
      <c r="H45" s="10">
        <v>2</v>
      </c>
      <c r="I45" s="10" t="s">
        <v>20</v>
      </c>
      <c r="J45" s="10">
        <v>1</v>
      </c>
      <c r="K45" s="10" t="s">
        <v>72</v>
      </c>
      <c r="L45" s="10">
        <v>0.358333333333333</v>
      </c>
      <c r="M45" s="10" t="str">
        <f t="shared" si="0"/>
        <v>Chargement Camion Colis</v>
      </c>
    </row>
    <row r="46" spans="1:13" x14ac:dyDescent="0.3">
      <c r="A46" s="10">
        <v>5010</v>
      </c>
      <c r="B46" s="10">
        <v>48</v>
      </c>
      <c r="C46" s="10" t="s">
        <v>141</v>
      </c>
      <c r="D46" s="16">
        <v>8286</v>
      </c>
      <c r="E46" s="16">
        <v>1</v>
      </c>
      <c r="F46" s="5" t="str">
        <f>IFERROR(INDEX(code!$B$10:$B$13, MATCH(CENTRE_TEST!$E$46, code!$A$10:$A$13, 0)), "")</f>
        <v>ARRIVEE</v>
      </c>
      <c r="G46" s="18" t="s">
        <v>46</v>
      </c>
      <c r="H46" s="10">
        <v>2</v>
      </c>
      <c r="I46" s="10" t="s">
        <v>20</v>
      </c>
      <c r="J46" s="10">
        <v>1</v>
      </c>
      <c r="K46" s="10" t="s">
        <v>73</v>
      </c>
      <c r="L46" s="10">
        <v>0.228333333333333</v>
      </c>
      <c r="M46" s="10" t="str">
        <f t="shared" si="0"/>
        <v>Chargement Camion Sac</v>
      </c>
    </row>
    <row r="47" spans="1:13" x14ac:dyDescent="0.3">
      <c r="A47" s="10">
        <v>5011</v>
      </c>
      <c r="B47" s="10">
        <v>49</v>
      </c>
      <c r="C47" s="10" t="s">
        <v>141</v>
      </c>
      <c r="D47" s="16">
        <v>8286</v>
      </c>
      <c r="E47" s="16">
        <v>1</v>
      </c>
      <c r="F47" s="5" t="str">
        <f>IFERROR(INDEX(code!$B$10:$B$13, MATCH(CENTRE_TEST!$E$47, code!$A$10:$A$13, 0)), "")</f>
        <v>ARRIVEE</v>
      </c>
      <c r="G47" s="18" t="s">
        <v>74</v>
      </c>
      <c r="H47" s="10">
        <v>2</v>
      </c>
      <c r="I47" s="10" t="s">
        <v>20</v>
      </c>
      <c r="J47" s="10">
        <v>1</v>
      </c>
      <c r="K47" s="10" t="s">
        <v>75</v>
      </c>
      <c r="L47" s="10" t="s">
        <v>62</v>
      </c>
      <c r="M47" s="10" t="str">
        <f t="shared" si="0"/>
        <v>Réception courrier avisé sur SI COM</v>
      </c>
    </row>
    <row r="48" spans="1:13" x14ac:dyDescent="0.3">
      <c r="A48" s="10">
        <v>5012</v>
      </c>
      <c r="B48" s="10">
        <v>50</v>
      </c>
      <c r="C48" s="10" t="s">
        <v>141</v>
      </c>
      <c r="D48" s="16">
        <v>8286</v>
      </c>
      <c r="E48" s="16">
        <v>1</v>
      </c>
      <c r="F48" s="5" t="str">
        <f>IFERROR(INDEX(code!$B$10:$B$13, MATCH(CENTRE_TEST!$E$48, code!$A$10:$A$13, 0)), "")</f>
        <v>ARRIVEE</v>
      </c>
      <c r="G48" s="18" t="s">
        <v>76</v>
      </c>
      <c r="H48" s="10">
        <v>2</v>
      </c>
      <c r="I48" s="10" t="s">
        <v>20</v>
      </c>
      <c r="J48" s="10">
        <v>1</v>
      </c>
      <c r="K48" s="10" t="s">
        <v>77</v>
      </c>
      <c r="L48" s="10">
        <v>0.43333333333333302</v>
      </c>
      <c r="M48" s="10" t="str">
        <f t="shared" si="0"/>
        <v>Affectation : Avisé, Abonné, Vaguemaster …</v>
      </c>
    </row>
    <row r="49" spans="1:13" x14ac:dyDescent="0.3">
      <c r="A49" s="10">
        <v>5013</v>
      </c>
      <c r="B49" s="10">
        <v>51</v>
      </c>
      <c r="C49" s="10" t="s">
        <v>141</v>
      </c>
      <c r="D49" s="16">
        <v>8286</v>
      </c>
      <c r="E49" s="16">
        <v>1</v>
      </c>
      <c r="F49" s="5" t="str">
        <f>IFERROR(INDEX(code!$B$10:$B$13, MATCH(CENTRE_TEST!$E$49, code!$A$10:$A$13, 0)), "")</f>
        <v>ARRIVEE</v>
      </c>
      <c r="G49" s="18" t="s">
        <v>74</v>
      </c>
      <c r="H49" s="10">
        <v>2</v>
      </c>
      <c r="I49" s="10" t="s">
        <v>20</v>
      </c>
      <c r="J49" s="10">
        <v>1</v>
      </c>
      <c r="K49" s="10" t="s">
        <v>78</v>
      </c>
      <c r="L49" s="10">
        <v>3.8333333333333303E-2</v>
      </c>
      <c r="M49" s="10" t="str">
        <f t="shared" si="0"/>
        <v>Notification envoi avisé client boite postale</v>
      </c>
    </row>
    <row r="50" spans="1:13" x14ac:dyDescent="0.3">
      <c r="A50" s="10">
        <v>5014</v>
      </c>
      <c r="B50" s="10">
        <v>53</v>
      </c>
      <c r="C50" s="10" t="s">
        <v>141</v>
      </c>
      <c r="D50" s="16">
        <v>8286</v>
      </c>
      <c r="E50" s="16">
        <v>1</v>
      </c>
      <c r="F50" s="5" t="str">
        <f>IFERROR(INDEX(code!$B$10:$B$13, MATCH(CENTRE_TEST!$E$50, code!$A$10:$A$13, 0)), "")</f>
        <v>ARRIVEE</v>
      </c>
      <c r="G50" s="18" t="s">
        <v>46</v>
      </c>
      <c r="H50" s="10">
        <v>2</v>
      </c>
      <c r="I50" s="10" t="s">
        <v>20</v>
      </c>
      <c r="J50" s="10">
        <v>1</v>
      </c>
      <c r="K50" s="10" t="s">
        <v>79</v>
      </c>
      <c r="L50" s="10">
        <v>0.63333333333333297</v>
      </c>
      <c r="M50" s="10" t="str">
        <f t="shared" si="0"/>
        <v>Déchargement VAN</v>
      </c>
    </row>
    <row r="51" spans="1:13" x14ac:dyDescent="0.3">
      <c r="A51" s="10">
        <v>5015</v>
      </c>
      <c r="B51" s="10">
        <v>54</v>
      </c>
      <c r="C51" s="10" t="s">
        <v>141</v>
      </c>
      <c r="D51" s="16">
        <v>8286</v>
      </c>
      <c r="E51" s="16">
        <v>1</v>
      </c>
      <c r="F51" s="5" t="str">
        <f>IFERROR(INDEX(code!$B$10:$B$13, MATCH(CENTRE_TEST!$E$51, code!$A$10:$A$13, 0)), "")</f>
        <v>ARRIVEE</v>
      </c>
      <c r="G51" s="18" t="s">
        <v>46</v>
      </c>
      <c r="H51" s="10">
        <v>2</v>
      </c>
      <c r="I51" s="10" t="s">
        <v>20</v>
      </c>
      <c r="J51" s="10">
        <v>1</v>
      </c>
      <c r="K51" s="10" t="s">
        <v>146</v>
      </c>
      <c r="L51" s="10" t="s">
        <v>62</v>
      </c>
      <c r="M51" s="10" t="str">
        <f t="shared" si="0"/>
        <v>Enregistrement sur PART 125 sac</v>
      </c>
    </row>
    <row r="52" spans="1:13" x14ac:dyDescent="0.3">
      <c r="A52" s="10">
        <v>5016</v>
      </c>
      <c r="B52" s="10">
        <v>55</v>
      </c>
      <c r="C52" s="10" t="s">
        <v>141</v>
      </c>
      <c r="D52" s="16">
        <v>8286</v>
      </c>
      <c r="E52" s="16">
        <v>1</v>
      </c>
      <c r="F52" s="5" t="str">
        <f>IFERROR(INDEX(code!$B$10:$B$13, MATCH(CENTRE_TEST!$E$52, code!$A$10:$A$13, 0)), "")</f>
        <v>ARRIVEE</v>
      </c>
      <c r="G52" s="18" t="s">
        <v>46</v>
      </c>
      <c r="H52" s="10">
        <v>2</v>
      </c>
      <c r="I52" s="10" t="s">
        <v>20</v>
      </c>
      <c r="J52" s="10">
        <v>1</v>
      </c>
      <c r="K52" s="10" t="s">
        <v>48</v>
      </c>
      <c r="L52" s="10">
        <v>4</v>
      </c>
      <c r="M52" s="10" t="str">
        <f t="shared" si="0"/>
        <v>Ouverture sac</v>
      </c>
    </row>
    <row r="53" spans="1:13" x14ac:dyDescent="0.3">
      <c r="A53" s="10">
        <v>5017</v>
      </c>
      <c r="B53" s="10">
        <v>56</v>
      </c>
      <c r="C53" s="10" t="s">
        <v>141</v>
      </c>
      <c r="D53" s="16">
        <v>8286</v>
      </c>
      <c r="E53" s="16">
        <v>1</v>
      </c>
      <c r="F53" s="5" t="str">
        <f>IFERROR(INDEX(code!$B$10:$B$13, MATCH(CENTRE_TEST!$E$53, code!$A$10:$A$13, 0)), "")</f>
        <v>ARRIVEE</v>
      </c>
      <c r="G53" s="18" t="s">
        <v>76</v>
      </c>
      <c r="H53" s="10">
        <v>2</v>
      </c>
      <c r="I53" s="10" t="s">
        <v>20</v>
      </c>
      <c r="J53" s="10">
        <v>1</v>
      </c>
      <c r="K53" s="10" t="s">
        <v>147</v>
      </c>
      <c r="L53" s="10">
        <v>0.57999999999999996</v>
      </c>
      <c r="M53" s="10" t="str">
        <f t="shared" si="0"/>
        <v>Scan &amp; Réception SI courrier</v>
      </c>
    </row>
    <row r="54" spans="1:13" x14ac:dyDescent="0.3">
      <c r="A54" s="10">
        <v>5018</v>
      </c>
      <c r="B54" s="10">
        <v>57</v>
      </c>
      <c r="C54" s="10" t="s">
        <v>141</v>
      </c>
      <c r="D54" s="16">
        <v>8286</v>
      </c>
      <c r="E54" s="16">
        <v>1</v>
      </c>
      <c r="F54" s="5" t="str">
        <f>IFERROR(INDEX(code!$B$10:$B$13, MATCH(CENTRE_TEST!$E$54, code!$A$10:$A$13, 0)), "")</f>
        <v>ARRIVEE</v>
      </c>
      <c r="G54" s="18" t="s">
        <v>76</v>
      </c>
      <c r="H54" s="10">
        <v>2</v>
      </c>
      <c r="I54" s="10" t="s">
        <v>20</v>
      </c>
      <c r="J54" s="10">
        <v>1</v>
      </c>
      <c r="K54" s="10" t="s">
        <v>81</v>
      </c>
      <c r="L54" s="10">
        <v>0.43333333333333302</v>
      </c>
      <c r="M54" s="10" t="str">
        <f t="shared" si="0"/>
        <v>Affectation au guichet</v>
      </c>
    </row>
    <row r="55" spans="1:13" x14ac:dyDescent="0.3">
      <c r="A55" s="10">
        <v>5019</v>
      </c>
      <c r="B55" s="10">
        <v>58</v>
      </c>
      <c r="C55" s="10" t="s">
        <v>141</v>
      </c>
      <c r="D55" s="16">
        <v>8286</v>
      </c>
      <c r="E55" s="16">
        <v>1</v>
      </c>
      <c r="F55" s="5" t="str">
        <f>IFERROR(INDEX(code!$B$10:$B$13, MATCH(CENTRE_TEST!$E$55, code!$A$10:$A$13, 0)), "")</f>
        <v>ARRIVEE</v>
      </c>
      <c r="G55" s="18" t="s">
        <v>76</v>
      </c>
      <c r="H55" s="10">
        <v>2</v>
      </c>
      <c r="I55" s="10" t="s">
        <v>20</v>
      </c>
      <c r="J55" s="10">
        <v>1</v>
      </c>
      <c r="K55" s="10" t="s">
        <v>56</v>
      </c>
      <c r="L55" s="10">
        <v>0.6</v>
      </c>
      <c r="M55" s="10" t="str">
        <f t="shared" si="0"/>
        <v>Scan et édition DNL</v>
      </c>
    </row>
    <row r="56" spans="1:13" x14ac:dyDescent="0.3">
      <c r="A56" s="10">
        <v>5020</v>
      </c>
      <c r="B56" s="10">
        <v>59</v>
      </c>
      <c r="C56" s="10" t="s">
        <v>141</v>
      </c>
      <c r="D56" s="16">
        <v>8286</v>
      </c>
      <c r="E56" s="16">
        <v>1</v>
      </c>
      <c r="F56" s="5" t="str">
        <f>IFERROR(INDEX(code!$B$10:$B$13, MATCH(CENTRE_TEST!$E$56, code!$A$10:$A$13, 0)), "")</f>
        <v>ARRIVEE</v>
      </c>
      <c r="G56" s="18" t="s">
        <v>76</v>
      </c>
      <c r="H56" s="10">
        <v>2</v>
      </c>
      <c r="I56" s="10" t="s">
        <v>20</v>
      </c>
      <c r="J56" s="10">
        <v>1</v>
      </c>
      <c r="K56" s="10" t="s">
        <v>82</v>
      </c>
      <c r="L56" s="10" t="s">
        <v>62</v>
      </c>
      <c r="M56" s="10" t="str">
        <f t="shared" si="0"/>
        <v>Remise à l'agent Barid Pro</v>
      </c>
    </row>
    <row r="57" spans="1:13" x14ac:dyDescent="0.3">
      <c r="A57" s="10">
        <v>5021</v>
      </c>
      <c r="B57" s="10">
        <v>60</v>
      </c>
      <c r="C57" s="10" t="s">
        <v>141</v>
      </c>
      <c r="D57" s="16">
        <v>8286</v>
      </c>
      <c r="E57" s="16">
        <v>1</v>
      </c>
      <c r="F57" s="5" t="str">
        <f>IFERROR(INDEX(code!$B$10:$B$13, MATCH(CENTRE_TEST!$E$57, code!$A$10:$A$13, 0)), "")</f>
        <v>ARRIVEE</v>
      </c>
      <c r="G57" s="18" t="s">
        <v>74</v>
      </c>
      <c r="H57" s="10">
        <v>2</v>
      </c>
      <c r="I57" s="10" t="s">
        <v>20</v>
      </c>
      <c r="J57" s="10">
        <v>2</v>
      </c>
      <c r="K57" s="10" t="s">
        <v>55</v>
      </c>
      <c r="L57" s="10">
        <v>1.16666666666667E-2</v>
      </c>
      <c r="M57" s="10" t="str">
        <f t="shared" si="0"/>
        <v>Préparatin fichier excel</v>
      </c>
    </row>
    <row r="58" spans="1:13" x14ac:dyDescent="0.3">
      <c r="A58" s="10">
        <v>5022</v>
      </c>
      <c r="B58" s="10">
        <v>61</v>
      </c>
      <c r="C58" s="10" t="s">
        <v>141</v>
      </c>
      <c r="D58" s="16">
        <v>8286</v>
      </c>
      <c r="E58" s="16">
        <v>1</v>
      </c>
      <c r="F58" s="5" t="str">
        <f>IFERROR(INDEX(code!$B$10:$B$13, MATCH(CENTRE_TEST!$E$58, code!$A$10:$A$13, 0)), "")</f>
        <v>ARRIVEE</v>
      </c>
      <c r="G58" s="18" t="s">
        <v>74</v>
      </c>
      <c r="H58" s="10">
        <v>2</v>
      </c>
      <c r="I58" s="10" t="s">
        <v>20</v>
      </c>
      <c r="J58" s="10">
        <v>2</v>
      </c>
      <c r="K58" s="10" t="s">
        <v>88</v>
      </c>
      <c r="L58" s="10">
        <v>0.4</v>
      </c>
      <c r="M58" s="10" t="str">
        <f t="shared" si="0"/>
        <v>Préparation &amp; mise en sac</v>
      </c>
    </row>
    <row r="59" spans="1:13" x14ac:dyDescent="0.3">
      <c r="A59" s="10">
        <v>5023</v>
      </c>
      <c r="B59" s="10">
        <v>62</v>
      </c>
      <c r="C59" s="10" t="s">
        <v>141</v>
      </c>
      <c r="D59" s="16">
        <v>8286</v>
      </c>
      <c r="E59" s="16">
        <v>1</v>
      </c>
      <c r="F59" s="5" t="str">
        <f>IFERROR(INDEX(code!$B$10:$B$13, MATCH(CENTRE_TEST!$E$59, code!$A$10:$A$13, 0)), "")</f>
        <v>ARRIVEE</v>
      </c>
      <c r="G59" s="18" t="s">
        <v>46</v>
      </c>
      <c r="H59" s="10">
        <v>2</v>
      </c>
      <c r="I59" s="10" t="s">
        <v>20</v>
      </c>
      <c r="J59" s="10">
        <v>2</v>
      </c>
      <c r="K59" s="10" t="s">
        <v>89</v>
      </c>
      <c r="L59" s="10">
        <v>0.4</v>
      </c>
      <c r="M59" s="10" t="str">
        <f t="shared" si="0"/>
        <v>Remplissage Sac</v>
      </c>
    </row>
    <row r="60" spans="1:13" x14ac:dyDescent="0.3">
      <c r="A60" s="10">
        <v>5024</v>
      </c>
      <c r="B60" s="10">
        <v>63</v>
      </c>
      <c r="C60" s="10" t="s">
        <v>141</v>
      </c>
      <c r="D60" s="16">
        <v>8286</v>
      </c>
      <c r="E60" s="16">
        <v>1</v>
      </c>
      <c r="F60" s="5" t="str">
        <f>IFERROR(INDEX(code!$B$10:$B$13, MATCH(CENTRE_TEST!$E$60, code!$A$10:$A$13, 0)), "")</f>
        <v>ARRIVEE</v>
      </c>
      <c r="G60" s="18" t="s">
        <v>46</v>
      </c>
      <c r="H60" s="10">
        <v>2</v>
      </c>
      <c r="I60" s="10" t="s">
        <v>20</v>
      </c>
      <c r="J60" s="10">
        <v>2</v>
      </c>
      <c r="K60" s="10" t="s">
        <v>70</v>
      </c>
      <c r="L60" s="10">
        <v>6.6666666666666697E-3</v>
      </c>
      <c r="M60" s="10" t="str">
        <f t="shared" si="0"/>
        <v>Edition PART</v>
      </c>
    </row>
    <row r="61" spans="1:13" x14ac:dyDescent="0.3">
      <c r="A61" s="10">
        <v>5025</v>
      </c>
      <c r="B61" s="10">
        <v>69</v>
      </c>
      <c r="C61" s="10" t="s">
        <v>141</v>
      </c>
      <c r="D61" s="16">
        <v>8286</v>
      </c>
      <c r="E61" s="16">
        <v>1</v>
      </c>
      <c r="F61" s="5" t="str">
        <f>IFERROR(INDEX(code!$B$10:$B$13, MATCH(CENTRE_TEST!$E$61, code!$A$10:$A$13, 0)), "")</f>
        <v>ARRIVEE</v>
      </c>
      <c r="G61" s="18" t="s">
        <v>46</v>
      </c>
      <c r="H61" s="10">
        <v>5</v>
      </c>
      <c r="I61" s="10" t="s">
        <v>20</v>
      </c>
      <c r="J61" s="10">
        <v>1</v>
      </c>
      <c r="K61" s="10" t="s">
        <v>90</v>
      </c>
      <c r="L61" s="10">
        <v>0.4</v>
      </c>
      <c r="M61" s="10" t="str">
        <f t="shared" si="0"/>
        <v>Chargement VAN</v>
      </c>
    </row>
    <row r="62" spans="1:13" x14ac:dyDescent="0.3">
      <c r="A62" s="10">
        <v>5026</v>
      </c>
      <c r="B62" s="10">
        <v>70</v>
      </c>
      <c r="C62" s="10" t="s">
        <v>141</v>
      </c>
      <c r="D62" s="16">
        <v>8286</v>
      </c>
      <c r="E62" s="16">
        <v>1</v>
      </c>
      <c r="F62" s="5" t="str">
        <f>IFERROR(INDEX(code!$B$10:$B$13, MATCH(CENTRE_TEST!$E$62, code!$A$10:$A$13, 0)), "")</f>
        <v>ARRIVEE</v>
      </c>
      <c r="G62" s="18" t="s">
        <v>91</v>
      </c>
      <c r="H62" s="10">
        <v>5</v>
      </c>
      <c r="I62" s="10" t="s">
        <v>20</v>
      </c>
      <c r="J62" s="10">
        <v>1</v>
      </c>
      <c r="K62" s="10" t="s">
        <v>92</v>
      </c>
      <c r="L62" s="10">
        <v>5.0000000000000001E-3</v>
      </c>
      <c r="M62" s="10" t="str">
        <f t="shared" si="0"/>
        <v>Démarrage Machine</v>
      </c>
    </row>
    <row r="63" spans="1:13" x14ac:dyDescent="0.3">
      <c r="A63" s="10">
        <v>5027</v>
      </c>
      <c r="B63" s="10">
        <v>71</v>
      </c>
      <c r="C63" s="10" t="s">
        <v>141</v>
      </c>
      <c r="D63" s="16">
        <v>8286</v>
      </c>
      <c r="E63" s="16">
        <v>1</v>
      </c>
      <c r="F63" s="5" t="str">
        <f>IFERROR(INDEX(code!$B$10:$B$13, MATCH(CENTRE_TEST!$E$63, code!$A$10:$A$13, 0)), "")</f>
        <v>ARRIVEE</v>
      </c>
      <c r="G63" s="18" t="s">
        <v>91</v>
      </c>
      <c r="H63" s="10">
        <v>5</v>
      </c>
      <c r="I63" s="10" t="s">
        <v>20</v>
      </c>
      <c r="J63" s="10">
        <v>1</v>
      </c>
      <c r="K63" s="10" t="s">
        <v>93</v>
      </c>
      <c r="L63" s="10" t="s">
        <v>62</v>
      </c>
      <c r="M63" s="10" t="str">
        <f t="shared" si="0"/>
        <v>Mise en service</v>
      </c>
    </row>
    <row r="64" spans="1:13" x14ac:dyDescent="0.3">
      <c r="A64" s="10">
        <v>5028</v>
      </c>
      <c r="B64" s="10">
        <v>72</v>
      </c>
      <c r="C64" s="10" t="s">
        <v>141</v>
      </c>
      <c r="D64" s="16">
        <v>8286</v>
      </c>
      <c r="E64" s="16">
        <v>1</v>
      </c>
      <c r="F64" s="5" t="str">
        <f>IFERROR(INDEX(code!$B$10:$B$13, MATCH(CENTRE_TEST!$E$64, code!$A$10:$A$13, 0)), "")</f>
        <v>ARRIVEE</v>
      </c>
      <c r="G64" s="18" t="s">
        <v>74</v>
      </c>
      <c r="H64" s="10">
        <v>5</v>
      </c>
      <c r="I64" s="10" t="s">
        <v>20</v>
      </c>
      <c r="J64" s="10">
        <v>1</v>
      </c>
      <c r="K64" s="10" t="s">
        <v>94</v>
      </c>
      <c r="L64" s="10">
        <v>0.16666666666666699</v>
      </c>
      <c r="M64" s="10" t="str">
        <f t="shared" si="0"/>
        <v>Pesage Courrier</v>
      </c>
    </row>
    <row r="65" spans="1:13" x14ac:dyDescent="0.3">
      <c r="A65" s="10">
        <v>5029</v>
      </c>
      <c r="B65" s="10">
        <v>73</v>
      </c>
      <c r="C65" s="10" t="s">
        <v>141</v>
      </c>
      <c r="D65" s="16">
        <v>8286</v>
      </c>
      <c r="E65" s="16">
        <v>1</v>
      </c>
      <c r="F65" s="5" t="str">
        <f>IFERROR(INDEX(code!$B$10:$B$13, MATCH(CENTRE_TEST!$E$65, code!$A$10:$A$13, 0)), "")</f>
        <v>ARRIVEE</v>
      </c>
      <c r="G65" s="18" t="s">
        <v>74</v>
      </c>
      <c r="H65" s="10">
        <v>5</v>
      </c>
      <c r="I65" s="10" t="s">
        <v>20</v>
      </c>
      <c r="J65" s="10">
        <v>1</v>
      </c>
      <c r="K65" s="10" t="s">
        <v>95</v>
      </c>
      <c r="L65" s="10">
        <v>0.16666666666666699</v>
      </c>
      <c r="M65" s="10" t="str">
        <f t="shared" si="0"/>
        <v>Traitement sur la machine MAG (Affranchissement)</v>
      </c>
    </row>
    <row r="66" spans="1:13" x14ac:dyDescent="0.3">
      <c r="A66" s="10">
        <v>5030</v>
      </c>
      <c r="B66" s="10">
        <v>74</v>
      </c>
      <c r="C66" s="10" t="s">
        <v>141</v>
      </c>
      <c r="D66" s="16">
        <v>8286</v>
      </c>
      <c r="E66" s="16">
        <v>1</v>
      </c>
      <c r="F66" s="5" t="str">
        <f>IFERROR(INDEX(code!$B$10:$B$13, MATCH(CENTRE_TEST!$E$66, code!$A$10:$A$13, 0)), "")</f>
        <v>ARRIVEE</v>
      </c>
      <c r="G66" s="18" t="s">
        <v>74</v>
      </c>
      <c r="H66" s="10">
        <v>5</v>
      </c>
      <c r="I66" s="10" t="s">
        <v>20</v>
      </c>
      <c r="J66" s="10">
        <v>1</v>
      </c>
      <c r="K66" s="10" t="s">
        <v>63</v>
      </c>
      <c r="L66" s="10">
        <v>0.21333333333333299</v>
      </c>
      <c r="M66" s="10" t="str">
        <f t="shared" si="0"/>
        <v>Réception</v>
      </c>
    </row>
    <row r="67" spans="1:13" x14ac:dyDescent="0.3">
      <c r="A67" s="10">
        <v>5031</v>
      </c>
      <c r="B67" s="10">
        <v>75</v>
      </c>
      <c r="C67" s="10" t="s">
        <v>141</v>
      </c>
      <c r="D67" s="16">
        <v>8286</v>
      </c>
      <c r="E67" s="16">
        <v>1</v>
      </c>
      <c r="F67" s="5" t="str">
        <f>IFERROR(INDEX(code!$B$10:$B$13, MATCH(CENTRE_TEST!$E$67, code!$A$10:$A$13, 0)), "")</f>
        <v>ARRIVEE</v>
      </c>
      <c r="G67" s="18" t="s">
        <v>74</v>
      </c>
      <c r="H67" s="10">
        <v>5</v>
      </c>
      <c r="I67" s="10" t="s">
        <v>20</v>
      </c>
      <c r="J67" s="10">
        <v>1</v>
      </c>
      <c r="K67" s="10" t="s">
        <v>96</v>
      </c>
      <c r="L67" s="10">
        <v>0.38333333333333303</v>
      </c>
      <c r="M67" s="10" t="str">
        <f t="shared" ref="M67:M70" si="1">TRIM(SUBSTITUTE(SUBSTITUTE(K67,CHAR(10)," "),CHAR(13)," "))</f>
        <v>Renseignement poids en manuel</v>
      </c>
    </row>
    <row r="68" spans="1:13" x14ac:dyDescent="0.3">
      <c r="A68" s="10">
        <v>5032</v>
      </c>
      <c r="B68" s="10">
        <v>76</v>
      </c>
      <c r="C68" s="10" t="s">
        <v>141</v>
      </c>
      <c r="D68" s="16">
        <v>8286</v>
      </c>
      <c r="E68" s="16">
        <v>1</v>
      </c>
      <c r="F68" s="5" t="str">
        <f>IFERROR(INDEX(code!$B$10:$B$13, MATCH(CENTRE_TEST!$E$68, code!$A$10:$A$13, 0)), "")</f>
        <v>ARRIVEE</v>
      </c>
      <c r="G68" s="18" t="s">
        <v>74</v>
      </c>
      <c r="H68" s="10">
        <v>5</v>
      </c>
      <c r="I68" s="10" t="s">
        <v>20</v>
      </c>
      <c r="J68" s="10">
        <v>1</v>
      </c>
      <c r="K68" s="10" t="s">
        <v>97</v>
      </c>
      <c r="L68" s="10" t="s">
        <v>62</v>
      </c>
      <c r="M68" s="10" t="str">
        <f t="shared" si="1"/>
        <v>Saisie données sur SI COM</v>
      </c>
    </row>
    <row r="69" spans="1:13" x14ac:dyDescent="0.3">
      <c r="A69" s="10">
        <v>5033</v>
      </c>
      <c r="B69" s="10">
        <v>77</v>
      </c>
      <c r="C69" s="10" t="s">
        <v>141</v>
      </c>
      <c r="D69" s="16">
        <v>8286</v>
      </c>
      <c r="E69" s="16">
        <v>1</v>
      </c>
      <c r="F69" s="5" t="str">
        <f>IFERROR(INDEX(code!$B$10:$B$13, MATCH(CENTRE_TEST!$E$69, code!$A$10:$A$13, 0)), "")</f>
        <v>ARRIVEE</v>
      </c>
      <c r="G69" s="18" t="s">
        <v>74</v>
      </c>
      <c r="H69" s="10">
        <v>5</v>
      </c>
      <c r="I69" s="10" t="s">
        <v>20</v>
      </c>
      <c r="J69" s="10">
        <v>1</v>
      </c>
      <c r="K69" s="10" t="s">
        <v>100</v>
      </c>
      <c r="L69" s="10" t="s">
        <v>62</v>
      </c>
      <c r="M69" s="10" t="str">
        <f t="shared" si="1"/>
        <v>Etat des emballages</v>
      </c>
    </row>
    <row r="70" spans="1:13" x14ac:dyDescent="0.3">
      <c r="A70" s="10">
        <v>5034</v>
      </c>
      <c r="B70" s="10">
        <v>78</v>
      </c>
      <c r="C70" s="10" t="s">
        <v>141</v>
      </c>
      <c r="D70" s="16">
        <v>8286</v>
      </c>
      <c r="E70" s="16">
        <v>1</v>
      </c>
      <c r="F70" s="5" t="str">
        <f>IFERROR(INDEX(code!$B$10:$B$13, MATCH(CENTRE_TEST!$E$70, code!$A$10:$A$13, 0)), "")</f>
        <v>ARRIVEE</v>
      </c>
      <c r="G70" s="18" t="s">
        <v>74</v>
      </c>
      <c r="H70" s="10">
        <v>5</v>
      </c>
      <c r="I70" s="10" t="s">
        <v>20</v>
      </c>
      <c r="J70" s="10">
        <v>1</v>
      </c>
      <c r="K70" s="10" t="s">
        <v>101</v>
      </c>
      <c r="L70" s="10" t="s">
        <v>62</v>
      </c>
      <c r="M70" s="10" t="str">
        <f t="shared" si="1"/>
        <v>Etat remis aux agents guichet</v>
      </c>
    </row>
    <row r="71" spans="1:13" hidden="1" x14ac:dyDescent="0.3"/>
    <row r="72" spans="1:13" hidden="1" x14ac:dyDescent="0.3"/>
    <row r="73" spans="1:13" hidden="1" x14ac:dyDescent="0.3"/>
    <row r="74" spans="1:13" hidden="1" x14ac:dyDescent="0.3"/>
    <row r="75" spans="1:13" hidden="1" x14ac:dyDescent="0.3"/>
    <row r="76" spans="1:13" hidden="1" x14ac:dyDescent="0.3"/>
    <row r="77" spans="1:13" hidden="1" x14ac:dyDescent="0.3"/>
    <row r="78" spans="1:13" hidden="1" x14ac:dyDescent="0.3"/>
    <row r="79" spans="1:13" hidden="1" x14ac:dyDescent="0.3"/>
    <row r="80" spans="1:13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</sheetData>
  <autoFilter ref="A1:M91" xr:uid="{00000000-0001-0000-0200-000000000000}">
    <filterColumn colId="2">
      <filters>
        <filter val="Agent opération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D1E7-03B4-477D-A8F3-CB9E7300CB8B}">
  <dimension ref="A1:F6"/>
  <sheetViews>
    <sheetView tabSelected="1" workbookViewId="0">
      <selection activeCell="I9" sqref="I9"/>
    </sheetView>
  </sheetViews>
  <sheetFormatPr baseColWidth="10" defaultRowHeight="14.4" x14ac:dyDescent="0.3"/>
  <cols>
    <col min="1" max="1" width="13" customWidth="1"/>
    <col min="2" max="2" width="14.88671875" bestFit="1" customWidth="1"/>
    <col min="3" max="3" width="17" bestFit="1" customWidth="1"/>
    <col min="4" max="4" width="13.88671875" hidden="1" customWidth="1"/>
    <col min="5" max="5" width="12.44140625" bestFit="1" customWidth="1"/>
  </cols>
  <sheetData>
    <row r="1" spans="1:6" ht="28.8" x14ac:dyDescent="0.3">
      <c r="A1" s="13" t="s">
        <v>37</v>
      </c>
      <c r="B1" s="13" t="s">
        <v>142</v>
      </c>
      <c r="C1" s="12" t="s">
        <v>143</v>
      </c>
      <c r="D1" s="12" t="s">
        <v>144</v>
      </c>
      <c r="E1" s="12" t="s">
        <v>133</v>
      </c>
      <c r="F1" s="12" t="s">
        <v>134</v>
      </c>
    </row>
    <row r="2" spans="1:6" x14ac:dyDescent="0.3">
      <c r="A2" s="23">
        <v>8288</v>
      </c>
      <c r="B2" s="23" t="str">
        <f>IFERROR(
  INDEX(CENTRE_TEST!$C:$C,
        MATCH($A2, CENTRE_TEST!$D:$D, 0)
  ),
""
)</f>
        <v>CHEF DE CENTRE</v>
      </c>
      <c r="C2" s="25">
        <f>SUMIFS(SIMULATION_CALC!$O:$O,SIMULATION_CALC!$C:$C,$A2)</f>
        <v>0</v>
      </c>
      <c r="D2" s="23">
        <f>PARAMS!$B$3 - (PARAMS!$B$4/60)</f>
        <v>8</v>
      </c>
      <c r="E2" s="25">
        <f>IFERROR(C2 / D2, 0)</f>
        <v>0</v>
      </c>
      <c r="F2" s="23">
        <f>ROUNDUP(E2,0)</f>
        <v>0</v>
      </c>
    </row>
    <row r="3" spans="1:6" x14ac:dyDescent="0.3">
      <c r="A3" s="23">
        <v>8285</v>
      </c>
      <c r="B3" s="23" t="str">
        <f>IFERROR(
  INDEX(CENTRE_TEST!$C:$C,
        MATCH($A3, CENTRE_TEST!$D:$D, 0)
  ),
""
)</f>
        <v>TRIEUR</v>
      </c>
      <c r="C3" s="25">
        <f>SUMIFS(SIMULATION_CALC!$O:$O,SIMULATION_CALC!$C:$C,$A3)</f>
        <v>0.56818181818181823</v>
      </c>
      <c r="D3" s="23">
        <f>PARAMS!$B$3 - (PARAMS!$B$4/60)</f>
        <v>8</v>
      </c>
      <c r="E3" s="24">
        <f>IFERROR(C3 / D3, 0)</f>
        <v>7.1022727272727279E-2</v>
      </c>
      <c r="F3" s="23">
        <f t="shared" ref="F3:F5" si="0">ROUNDUP(E3,0)</f>
        <v>1</v>
      </c>
    </row>
    <row r="4" spans="1:6" x14ac:dyDescent="0.3">
      <c r="A4" s="23">
        <v>8286</v>
      </c>
      <c r="B4" s="23" t="str">
        <f>IFERROR(
  INDEX(CENTRE_TEST!$C:$C,
        MATCH($A4, CENTRE_TEST!$D:$D, 0)
  ),
""
)</f>
        <v>Agent opération</v>
      </c>
      <c r="C4" s="25">
        <f>SUMIFS(SIMULATION_CALC!$O:$O,SIMULATION_CALC!$C:$C,$A4)</f>
        <v>15.601641414141419</v>
      </c>
      <c r="D4" s="23">
        <f>PARAMS!$B$3 - (PARAMS!$B$4/60)</f>
        <v>8</v>
      </c>
      <c r="E4" s="25">
        <f t="shared" ref="E3:E6" si="1">IFERROR(C4 / D4, 0)</f>
        <v>1.9502051767676774</v>
      </c>
      <c r="F4" s="23">
        <f t="shared" si="0"/>
        <v>2</v>
      </c>
    </row>
    <row r="5" spans="1:6" x14ac:dyDescent="0.3">
      <c r="A5" s="23">
        <v>8284</v>
      </c>
      <c r="B5" s="23" t="str">
        <f>IFERROR(
  INDEX(CENTRE_TEST!$C:$C,
        MATCH($A5, CENTRE_TEST!$D:$D, 0)
  ),
""
)</f>
        <v>GUICHETIER</v>
      </c>
      <c r="C5" s="24">
        <f>SUMIFS(SIMULATION_CALC!$O:$O,SIMULATION_CALC!$C:$C,$A5)</f>
        <v>25.955808080808083</v>
      </c>
      <c r="D5" s="23">
        <f>PARAMS!$B$3 - (PARAMS!$B$4/60)</f>
        <v>8</v>
      </c>
      <c r="E5" s="24">
        <f t="shared" si="1"/>
        <v>3.2444760101010104</v>
      </c>
      <c r="F5" s="23">
        <f t="shared" si="0"/>
        <v>4</v>
      </c>
    </row>
    <row r="6" spans="1:6" x14ac:dyDescent="0.3">
      <c r="B6" s="14" t="str">
        <f ca="1">IFERROR(RECHERCHEX($A6,[2]REF_POSTE!$A:$A,[2]REF_POSTE!$B:$B),"")</f>
        <v/>
      </c>
      <c r="C6" s="20">
        <f>SUM(C2:C5)</f>
        <v>42.125631313131322</v>
      </c>
      <c r="D6" s="14"/>
      <c r="E6" s="20">
        <f>SUM(E2:E5)</f>
        <v>5.2657039141414153</v>
      </c>
      <c r="F6" s="21">
        <f>ROUND(E6,0)</f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3" width="14" customWidth="1"/>
    <col min="4" max="4" width="10" customWidth="1"/>
  </cols>
  <sheetData>
    <row r="1" spans="1:4" ht="24" customHeight="1" x14ac:dyDescent="0.3">
      <c r="A1" s="1" t="s">
        <v>110</v>
      </c>
      <c r="B1" s="1" t="s">
        <v>111</v>
      </c>
      <c r="C1" s="1" t="s">
        <v>112</v>
      </c>
      <c r="D1" s="1"/>
    </row>
    <row r="2" spans="1:4" x14ac:dyDescent="0.3">
      <c r="A2">
        <v>1</v>
      </c>
      <c r="B2" t="s">
        <v>20</v>
      </c>
      <c r="C2" t="s">
        <v>113</v>
      </c>
    </row>
    <row r="3" spans="1:4" x14ac:dyDescent="0.3">
      <c r="A3">
        <v>2</v>
      </c>
      <c r="B3" t="s">
        <v>22</v>
      </c>
      <c r="C3" t="s">
        <v>114</v>
      </c>
    </row>
    <row r="4" spans="1:4" x14ac:dyDescent="0.3">
      <c r="A4">
        <v>3</v>
      </c>
      <c r="B4" t="s">
        <v>23</v>
      </c>
      <c r="C4" t="s">
        <v>115</v>
      </c>
    </row>
    <row r="5" spans="1:4" x14ac:dyDescent="0.3">
      <c r="A5">
        <v>4</v>
      </c>
      <c r="B5" t="s">
        <v>24</v>
      </c>
      <c r="C5" t="s">
        <v>116</v>
      </c>
    </row>
    <row r="6" spans="1:4" x14ac:dyDescent="0.3">
      <c r="A6">
        <v>5</v>
      </c>
      <c r="B6" t="s">
        <v>25</v>
      </c>
      <c r="C6" t="s">
        <v>117</v>
      </c>
    </row>
    <row r="9" spans="1:4" x14ac:dyDescent="0.3">
      <c r="A9" t="s">
        <v>110</v>
      </c>
      <c r="B9" t="s">
        <v>111</v>
      </c>
      <c r="C9" t="s">
        <v>112</v>
      </c>
    </row>
    <row r="10" spans="1:4" x14ac:dyDescent="0.3">
      <c r="A10">
        <v>1</v>
      </c>
      <c r="B10" t="s">
        <v>18</v>
      </c>
      <c r="C10" t="s">
        <v>118</v>
      </c>
    </row>
    <row r="11" spans="1:4" x14ac:dyDescent="0.3">
      <c r="A11">
        <v>2</v>
      </c>
      <c r="B11" t="s">
        <v>31</v>
      </c>
      <c r="C11" t="s">
        <v>119</v>
      </c>
    </row>
    <row r="12" spans="1:4" x14ac:dyDescent="0.3">
      <c r="A12">
        <v>3</v>
      </c>
      <c r="B12" t="s">
        <v>33</v>
      </c>
      <c r="C12" t="s">
        <v>120</v>
      </c>
      <c r="D12" t="s">
        <v>121</v>
      </c>
    </row>
    <row r="13" spans="1:4" x14ac:dyDescent="0.3">
      <c r="A13">
        <v>4</v>
      </c>
      <c r="B13" t="s">
        <v>30</v>
      </c>
      <c r="C13" t="s">
        <v>122</v>
      </c>
    </row>
  </sheetData>
  <autoFilter ref="A1:D13" xr:uid="{00000000-0009-0000-0000-000003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P70"/>
  <sheetViews>
    <sheetView topLeftCell="F1" workbookViewId="0">
      <pane ySplit="1" topLeftCell="A32" activePane="bottomLeft" state="frozen"/>
      <selection pane="bottomLeft" activeCell="J36" sqref="J36"/>
    </sheetView>
  </sheetViews>
  <sheetFormatPr baseColWidth="10" defaultColWidth="8.88671875" defaultRowHeight="14.4" x14ac:dyDescent="0.3"/>
  <cols>
    <col min="1" max="1" width="12.6640625" bestFit="1" customWidth="1"/>
    <col min="2" max="2" width="8.33203125" bestFit="1" customWidth="1"/>
    <col min="3" max="3" width="19" bestFit="1" customWidth="1"/>
    <col min="4" max="4" width="14.88671875" bestFit="1" customWidth="1"/>
    <col min="5" max="5" width="57.88671875" bestFit="1" customWidth="1"/>
    <col min="6" max="6" width="19.44140625" bestFit="1" customWidth="1"/>
    <col min="7" max="7" width="14.21875" bestFit="1" customWidth="1"/>
    <col min="8" max="8" width="13.6640625" bestFit="1" customWidth="1"/>
    <col min="9" max="9" width="17.77734375" bestFit="1" customWidth="1"/>
    <col min="10" max="10" width="25.6640625" bestFit="1" customWidth="1"/>
    <col min="11" max="11" width="24.109375" bestFit="1" customWidth="1"/>
    <col min="12" max="12" width="16.21875" bestFit="1" customWidth="1"/>
    <col min="13" max="13" width="20.109375" bestFit="1" customWidth="1"/>
    <col min="14" max="14" width="15.6640625" bestFit="1" customWidth="1"/>
    <col min="15" max="15" width="11.109375" bestFit="1" customWidth="1"/>
    <col min="16" max="16" width="70.5546875" bestFit="1" customWidth="1"/>
  </cols>
  <sheetData>
    <row r="1" spans="1:16" ht="24" customHeight="1" x14ac:dyDescent="0.3">
      <c r="A1" s="4" t="s">
        <v>35</v>
      </c>
      <c r="B1" s="4" t="s">
        <v>36</v>
      </c>
      <c r="C1" s="4" t="s">
        <v>37</v>
      </c>
      <c r="D1" s="13" t="s">
        <v>142</v>
      </c>
      <c r="E1" s="4" t="s">
        <v>42</v>
      </c>
      <c r="F1" s="4" t="s">
        <v>123</v>
      </c>
      <c r="G1" s="4" t="s">
        <v>12</v>
      </c>
      <c r="H1" s="4" t="s">
        <v>13</v>
      </c>
      <c r="I1" s="4" t="s">
        <v>14</v>
      </c>
      <c r="J1" s="4" t="s">
        <v>17</v>
      </c>
      <c r="K1" s="4" t="s">
        <v>124</v>
      </c>
      <c r="L1" s="4" t="s">
        <v>125</v>
      </c>
      <c r="M1" s="4" t="s">
        <v>126</v>
      </c>
      <c r="N1" s="4" t="s">
        <v>127</v>
      </c>
      <c r="O1" s="4" t="s">
        <v>128</v>
      </c>
      <c r="P1" s="10"/>
    </row>
    <row r="2" spans="1:16" hidden="1" x14ac:dyDescent="0.3">
      <c r="A2" s="5">
        <v>4966</v>
      </c>
      <c r="B2" s="5">
        <v>1</v>
      </c>
      <c r="C2" s="16">
        <v>8284</v>
      </c>
      <c r="D2" s="10" t="s">
        <v>138</v>
      </c>
      <c r="E2" s="10" t="s">
        <v>57</v>
      </c>
      <c r="F2" s="10" t="s">
        <v>44</v>
      </c>
      <c r="G2" s="5" t="str">
        <f>IFERROR(INDEX(code!$B$10:$B$13, MATCH(CENTRE_TEST!$E$2, code!$A$10:$A$13, 0)), "")</f>
        <v>ARRIVEE</v>
      </c>
      <c r="H2" s="5" t="s">
        <v>19</v>
      </c>
      <c r="I2" s="5" t="str">
        <f>CENTRE_TEST!$I$2</f>
        <v>GLOBAL</v>
      </c>
      <c r="J2" s="5" t="str">
        <f>UPPER(TRIM(SUBSTITUTE(G2," ",""))) &amp; "|" &amp;
 UPPER(TRIM(SUBSTITUTE(H2," ",""))) &amp; "|" &amp;
 UPPER(TRIM(SUBSTITUTE(I2," ","")))</f>
        <v>ARRIVEE|AMANA|GLOBAL</v>
      </c>
      <c r="K2" s="19">
        <f>IFERROR(SUMIFS(INPUT_VOLUMES!$D:$D,INPUT_VOLUMES!$A:$A,$G2,INPUT_VOLUMES!$B:$B,$H2,INPUT_VOLUMES!$C:$C,$I2),0)</f>
        <v>50000</v>
      </c>
      <c r="L2" s="19">
        <f>K2/PARAMS!$B$2</f>
        <v>189.39393939393941</v>
      </c>
      <c r="M2" s="19">
        <f>IF(F2="Sac",
   L2 / PARAMS!$B$6,
   L2
)</f>
        <v>189.39393939393941</v>
      </c>
      <c r="N2" s="19">
        <f>IFERROR(INDEX(CENTRE_TEST!$L:$L,MATCH(P2,CENTRE_TEST!$M:$M,0)),0)</f>
        <v>3.625</v>
      </c>
      <c r="O2" s="19">
        <f>IFERROR(
   M2 * (N2/60) * (PARAMS!$B$5 / 100),
0)</f>
        <v>11.442550505050505</v>
      </c>
      <c r="P2" s="10" t="str">
        <f>UPPER(TRIM(SUBSTITUTE(SUBSTITUTE(E2,CHAR(10)," "),CHAR(13)," ")))</f>
        <v>DÉPÔT COLIS PAR LE CLIENT</v>
      </c>
    </row>
    <row r="3" spans="1:16" hidden="1" x14ac:dyDescent="0.3">
      <c r="A3" s="5">
        <v>4967</v>
      </c>
      <c r="B3" s="5">
        <v>2</v>
      </c>
      <c r="C3" s="16">
        <v>8284</v>
      </c>
      <c r="D3" s="10" t="s">
        <v>138</v>
      </c>
      <c r="E3" s="10" t="s">
        <v>58</v>
      </c>
      <c r="F3" s="10" t="s">
        <v>44</v>
      </c>
      <c r="G3" s="5" t="str">
        <f>IFERROR(INDEX(code!$B$10:$B$13, MATCH(CENTRE_TEST!$E$3, code!$A$10:$A$13, 0)), "")</f>
        <v>ARRIVEE</v>
      </c>
      <c r="H3" s="5" t="s">
        <v>19</v>
      </c>
      <c r="I3" s="5" t="str">
        <f>CENTRE_TEST!$I$3</f>
        <v>GLOBAL</v>
      </c>
      <c r="J3" s="5" t="str">
        <f>UPPER(TRIM(SUBSTITUTE(G3," ",""))) &amp; "|" &amp;
 UPPER(TRIM(SUBSTITUTE(H3," ",""))) &amp; "|" &amp;
 UPPER(TRIM(SUBSTITUTE(I3," ","")))</f>
        <v>ARRIVEE|AMANA|GLOBAL</v>
      </c>
      <c r="K3" s="19">
        <f>IFERROR(SUMIFS(INPUT_VOLUMES!$D:$D,INPUT_VOLUMES!$A:$A,$G3,INPUT_VOLUMES!$B:$B,$H3,INPUT_VOLUMES!$C:$C,$I3),0)</f>
        <v>50000</v>
      </c>
      <c r="L3" s="19">
        <f>K3/PARAMS!$B$2</f>
        <v>189.39393939393941</v>
      </c>
      <c r="M3" s="19">
        <f>IF(F3="Sac",
   L3 / PARAMS!$B$6,
   L3
)</f>
        <v>189.39393939393941</v>
      </c>
      <c r="N3" s="19">
        <f>IFERROR(INDEX(CENTRE_TEST!$L:$L,MATCH(P3,CENTRE_TEST!$M:$M,0)),0)</f>
        <v>4.3550000000000004</v>
      </c>
      <c r="O3" s="19">
        <f>IFERROR(
   M3 * (N3/60) * (PARAMS!$B$5 / 100),
0)</f>
        <v>13.746843434343438</v>
      </c>
      <c r="P3" s="10" t="str">
        <f t="shared" ref="P3:P66" si="0">UPPER(TRIM(SUBSTITUTE(SUBSTITUTE(E3,CHAR(10)," "),CHAR(13)," ")))</f>
        <v>RÉCUPÉRATION COLIS PAR LE CLIENT</v>
      </c>
    </row>
    <row r="4" spans="1:16" hidden="1" x14ac:dyDescent="0.3">
      <c r="A4" s="5">
        <v>4968</v>
      </c>
      <c r="B4" s="5">
        <v>3</v>
      </c>
      <c r="C4" s="16">
        <v>8284</v>
      </c>
      <c r="D4" s="10" t="s">
        <v>138</v>
      </c>
      <c r="E4" s="10" t="s">
        <v>83</v>
      </c>
      <c r="F4" s="10" t="s">
        <v>76</v>
      </c>
      <c r="G4" s="5" t="str">
        <f>IFERROR(INDEX(code!$B$10:$B$13, MATCH(CENTRE_TEST!$E$4, code!$A$10:$A$13, 0)), "")</f>
        <v>ARRIVEE</v>
      </c>
      <c r="H4" s="5" t="s">
        <v>27</v>
      </c>
      <c r="I4" s="5" t="str">
        <f>CENTRE_TEST!$I$4</f>
        <v>GLOBAL</v>
      </c>
      <c r="J4" s="5" t="str">
        <f>UPPER(TRIM(SUBSTITUTE(G4," ",""))) &amp; "|" &amp;
 UPPER(TRIM(SUBSTITUTE(H4," ",""))) &amp; "|" &amp;
 UPPER(TRIM(SUBSTITUTE(I4," ","")))</f>
        <v>ARRIVEE|CR|GLOBAL</v>
      </c>
      <c r="K4" s="19">
        <f>IFERROR(SUMIFS(INPUT_VOLUMES!$D:$D,INPUT_VOLUMES!$A:$A,$G4,INPUT_VOLUMES!$B:$B,$H4,INPUT_VOLUMES!$C:$C,$I4),0)</f>
        <v>0</v>
      </c>
      <c r="L4" s="19">
        <f>K4/PARAMS!$B$2</f>
        <v>0</v>
      </c>
      <c r="M4" s="19">
        <f>IF(F4="Sac",
   L4 / PARAMS!$B$6,
   L4
)</f>
        <v>0</v>
      </c>
      <c r="N4" s="19">
        <f>IFERROR(INDEX(CENTRE_TEST!$L:$L,MATCH(P4,CENTRE_TEST!$M:$M,0)),0)</f>
        <v>0.20166666666666699</v>
      </c>
      <c r="O4" s="19">
        <f>IFERROR(
   M4 * (N4/60) * (PARAMS!$B$5 / 100),
0)</f>
        <v>0</v>
      </c>
      <c r="P4" s="10" t="str">
        <f t="shared" si="0"/>
        <v>TRI PAR ADMINISTRATION</v>
      </c>
    </row>
    <row r="5" spans="1:16" hidden="1" x14ac:dyDescent="0.3">
      <c r="A5" s="5">
        <v>4969</v>
      </c>
      <c r="B5" s="5">
        <v>4</v>
      </c>
      <c r="C5" s="16">
        <v>8284</v>
      </c>
      <c r="D5" s="10" t="s">
        <v>138</v>
      </c>
      <c r="E5" s="10" t="s">
        <v>84</v>
      </c>
      <c r="F5" s="10" t="s">
        <v>76</v>
      </c>
      <c r="G5" s="5" t="str">
        <f>IFERROR(INDEX(code!$B$10:$B$13, MATCH(CENTRE_TEST!$E$5, code!$A$10:$A$13, 0)), "")</f>
        <v>ARRIVEE</v>
      </c>
      <c r="H5" s="5" t="s">
        <v>27</v>
      </c>
      <c r="I5" s="5" t="str">
        <f>CENTRE_TEST!$I$5</f>
        <v>GLOBAL</v>
      </c>
      <c r="J5" s="5" t="str">
        <f>UPPER(TRIM(SUBSTITUTE(G5," ",""))) &amp; "|" &amp;
 UPPER(TRIM(SUBSTITUTE(H5," ",""))) &amp; "|" &amp;
 UPPER(TRIM(SUBSTITUTE(I5," ","")))</f>
        <v>ARRIVEE|CR|GLOBAL</v>
      </c>
      <c r="K5" s="19">
        <f>IFERROR(SUMIFS(INPUT_VOLUMES!$D:$D,INPUT_VOLUMES!$A:$A,$G5,INPUT_VOLUMES!$B:$B,$H5,INPUT_VOLUMES!$C:$C,$I5),0)</f>
        <v>0</v>
      </c>
      <c r="L5" s="19">
        <f>K5/PARAMS!$B$2</f>
        <v>0</v>
      </c>
      <c r="M5" s="19">
        <f>IF(F5="Sac",
   L5 / PARAMS!$B$6,
   L5
)</f>
        <v>0</v>
      </c>
      <c r="N5" s="19">
        <f>IFERROR(INDEX(CENTRE_TEST!$L:$L,MATCH(P5,CENTRE_TEST!$M:$M,0)),0)</f>
        <v>0.64166666666666705</v>
      </c>
      <c r="O5" s="19">
        <f>IFERROR(
   M5 * (N5/60) * (PARAMS!$B$5 / 100),
0)</f>
        <v>0</v>
      </c>
      <c r="P5" s="10" t="str">
        <f t="shared" si="0"/>
        <v>ENVOI COURRIER RECOMMANDÉ</v>
      </c>
    </row>
    <row r="6" spans="1:16" hidden="1" x14ac:dyDescent="0.3">
      <c r="A6" s="5">
        <v>4970</v>
      </c>
      <c r="B6" s="5">
        <v>5</v>
      </c>
      <c r="C6" s="16">
        <v>8284</v>
      </c>
      <c r="D6" s="10" t="s">
        <v>138</v>
      </c>
      <c r="E6" s="10" t="s">
        <v>85</v>
      </c>
      <c r="F6" s="10" t="s">
        <v>74</v>
      </c>
      <c r="G6" s="5" t="str">
        <f>IFERROR(INDEX(code!$B$10:$B$13, MATCH(CENTRE_TEST!$E$6, code!$A$10:$A$13, 0)), "")</f>
        <v>ARRIVEE</v>
      </c>
      <c r="H6" s="5" t="s">
        <v>26</v>
      </c>
      <c r="I6" s="5" t="str">
        <f>CENTRE_TEST!$I$6</f>
        <v>GLOBAL</v>
      </c>
      <c r="J6" s="5" t="str">
        <f>UPPER(TRIM(SUBSTITUTE(G6," ",""))) &amp; "|" &amp;
 UPPER(TRIM(SUBSTITUTE(H6," ",""))) &amp; "|" &amp;
 UPPER(TRIM(SUBSTITUTE(I6," ","")))</f>
        <v>ARRIVEE|CO|GLOBAL</v>
      </c>
      <c r="K6" s="19">
        <f>IFERROR(SUMIFS(INPUT_VOLUMES!$D:$D,INPUT_VOLUMES!$A:$A,$G6,INPUT_VOLUMES!$B:$B,$H6,INPUT_VOLUMES!$C:$C,$I6),0)</f>
        <v>6000</v>
      </c>
      <c r="L6" s="19">
        <f>K6/PARAMS!$B$2</f>
        <v>22.727272727272727</v>
      </c>
      <c r="M6" s="19">
        <f>IF(F6="Sac",
   L6 / PARAMS!$B$6,
   L6
)</f>
        <v>22.727272727272727</v>
      </c>
      <c r="N6" s="19">
        <f>IFERROR(INDEX(CENTRE_TEST!$L:$L,MATCH(P6,CENTRE_TEST!$M:$M,0)),0)</f>
        <v>0.58333333333333304</v>
      </c>
      <c r="O6" s="19">
        <f>IFERROR(
   M6 * (N6/60) * (PARAMS!$B$5 / 100),
0)</f>
        <v>0.22095959595959583</v>
      </c>
      <c r="P6" s="10" t="str">
        <f t="shared" si="0"/>
        <v>RÉCUPÉRATION CR</v>
      </c>
    </row>
    <row r="7" spans="1:16" hidden="1" x14ac:dyDescent="0.3">
      <c r="A7" s="5">
        <v>4971</v>
      </c>
      <c r="B7" s="5">
        <v>6</v>
      </c>
      <c r="C7" s="16">
        <v>8284</v>
      </c>
      <c r="D7" s="10" t="s">
        <v>138</v>
      </c>
      <c r="E7" s="10" t="s">
        <v>86</v>
      </c>
      <c r="F7" s="10" t="s">
        <v>74</v>
      </c>
      <c r="G7" s="5" t="str">
        <f>IFERROR(INDEX(code!$B$10:$B$13, MATCH(CENTRE_TEST!$E$7, code!$A$10:$A$13, 0)), "")</f>
        <v>ARRIVEE</v>
      </c>
      <c r="H7" s="5" t="s">
        <v>26</v>
      </c>
      <c r="I7" s="5" t="str">
        <f>CENTRE_TEST!$I$7</f>
        <v>GLOBAL</v>
      </c>
      <c r="J7" s="5" t="str">
        <f>UPPER(TRIM(SUBSTITUTE(G7," ",""))) &amp; "|" &amp;
 UPPER(TRIM(SUBSTITUTE(H7," ",""))) &amp; "|" &amp;
 UPPER(TRIM(SUBSTITUTE(I7," ","")))</f>
        <v>ARRIVEE|CO|GLOBAL</v>
      </c>
      <c r="K7" s="19">
        <f>IFERROR(SUMIFS(INPUT_VOLUMES!$D:$D,INPUT_VOLUMES!$A:$A,$G7,INPUT_VOLUMES!$B:$B,$H7,INPUT_VOLUMES!$C:$C,$I7),0)</f>
        <v>6000</v>
      </c>
      <c r="L7" s="19">
        <f>K7/PARAMS!$B$2</f>
        <v>22.727272727272727</v>
      </c>
      <c r="M7" s="19">
        <f>IF(F7="Sac",
   L7 / PARAMS!$B$6,
   L7
)</f>
        <v>22.727272727272727</v>
      </c>
      <c r="N7" s="19" t="str">
        <f>IFERROR(INDEX(CENTRE_TEST!$L:$L,MATCH(P7,CENTRE_TEST!$M:$M,0)),0)</f>
        <v>NULL</v>
      </c>
      <c r="O7" s="19">
        <f>IFERROR(
   M7 * (N7/60) * (PARAMS!$B$5 / 100),
0)</f>
        <v>0</v>
      </c>
      <c r="P7" s="10" t="str">
        <f t="shared" si="0"/>
        <v>DÉPÔT CO</v>
      </c>
    </row>
    <row r="8" spans="1:16" hidden="1" x14ac:dyDescent="0.3">
      <c r="A8" s="5">
        <v>4972</v>
      </c>
      <c r="B8" s="5">
        <v>7</v>
      </c>
      <c r="C8" s="16">
        <v>8284</v>
      </c>
      <c r="D8" s="10" t="s">
        <v>138</v>
      </c>
      <c r="E8" s="10" t="s">
        <v>87</v>
      </c>
      <c r="F8" s="10" t="s">
        <v>74</v>
      </c>
      <c r="G8" s="5" t="str">
        <f>IFERROR(INDEX(code!$B$10:$B$13, MATCH(CENTRE_TEST!$E$8, code!$A$10:$A$13, 0)), "")</f>
        <v>ARRIVEE</v>
      </c>
      <c r="H8" s="5" t="s">
        <v>26</v>
      </c>
      <c r="I8" s="5" t="str">
        <f>CENTRE_TEST!$I$8</f>
        <v>GLOBAL</v>
      </c>
      <c r="J8" s="5" t="str">
        <f>UPPER(TRIM(SUBSTITUTE(G8," ",""))) &amp; "|" &amp;
 UPPER(TRIM(SUBSTITUTE(H8," ",""))) &amp; "|" &amp;
 UPPER(TRIM(SUBSTITUTE(I8," ","")))</f>
        <v>ARRIVEE|CO|GLOBAL</v>
      </c>
      <c r="K8" s="19">
        <f>IFERROR(SUMIFS(INPUT_VOLUMES!$D:$D,INPUT_VOLUMES!$A:$A,$G8,INPUT_VOLUMES!$B:$B,$H8,INPUT_VOLUMES!$C:$C,$I8),0)</f>
        <v>6000</v>
      </c>
      <c r="L8" s="19">
        <f>K8/PARAMS!$B$2</f>
        <v>22.727272727272727</v>
      </c>
      <c r="M8" s="19">
        <f>IF(F8="Sac",
   L8 / PARAMS!$B$6,
   L8
)</f>
        <v>22.727272727272727</v>
      </c>
      <c r="N8" s="19">
        <f>IFERROR(INDEX(CENTRE_TEST!$L:$L,MATCH(P8,CENTRE_TEST!$M:$M,0)),0)</f>
        <v>0.63333333333333297</v>
      </c>
      <c r="O8" s="19">
        <f>IFERROR(
   M8 * (N8/60) * (PARAMS!$B$5 / 100),
0)</f>
        <v>0.23989898989898975</v>
      </c>
      <c r="P8" s="10" t="str">
        <f t="shared" si="0"/>
        <v>SCAN DNL ET RETOUR INFO</v>
      </c>
    </row>
    <row r="9" spans="1:16" hidden="1" x14ac:dyDescent="0.3">
      <c r="A9" s="5">
        <v>4973</v>
      </c>
      <c r="B9" s="5">
        <v>8</v>
      </c>
      <c r="C9" s="16">
        <v>8284</v>
      </c>
      <c r="D9" s="10" t="s">
        <v>138</v>
      </c>
      <c r="E9" s="10" t="s">
        <v>66</v>
      </c>
      <c r="F9" s="10" t="s">
        <v>74</v>
      </c>
      <c r="G9" s="5" t="str">
        <f>IFERROR(INDEX(code!$B$10:$B$13, MATCH(CENTRE_TEST!$E$9, code!$A$10:$A$13, 0)), "")</f>
        <v>ARRIVEE</v>
      </c>
      <c r="H9" s="5" t="s">
        <v>26</v>
      </c>
      <c r="I9" s="5" t="str">
        <f>CENTRE_TEST!$I$9</f>
        <v>GLOBAL</v>
      </c>
      <c r="J9" s="5" t="str">
        <f>UPPER(TRIM(SUBSTITUTE(G9," ",""))) &amp; "|" &amp;
 UPPER(TRIM(SUBSTITUTE(H9," ",""))) &amp; "|" &amp;
 UPPER(TRIM(SUBSTITUTE(I9," ","")))</f>
        <v>ARRIVEE|CO|GLOBAL</v>
      </c>
      <c r="K9" s="19">
        <f>IFERROR(SUMIFS(INPUT_VOLUMES!$D:$D,INPUT_VOLUMES!$A:$A,$G9,INPUT_VOLUMES!$B:$B,$H9,INPUT_VOLUMES!$C:$C,$I9),0)</f>
        <v>6000</v>
      </c>
      <c r="L9" s="19">
        <f>K9/PARAMS!$B$2</f>
        <v>22.727272727272727</v>
      </c>
      <c r="M9" s="19">
        <f>IF(F9="Sac",
   L9 / PARAMS!$B$6,
   L9
)</f>
        <v>22.727272727272727</v>
      </c>
      <c r="N9" s="19">
        <f>IFERROR(INDEX(CENTRE_TEST!$L:$L,MATCH(P9,CENTRE_TEST!$M:$M,0)),0)</f>
        <v>0.20499999999999999</v>
      </c>
      <c r="O9" s="19">
        <f>IFERROR(
   M9 * (N9/60) * (PARAMS!$B$5 / 100),
0)</f>
        <v>7.7651515151515138E-2</v>
      </c>
      <c r="P9" s="10" t="str">
        <f t="shared" si="0"/>
        <v>EXPÉDITION</v>
      </c>
    </row>
    <row r="10" spans="1:16" hidden="1" x14ac:dyDescent="0.3">
      <c r="A10" s="5">
        <v>4974</v>
      </c>
      <c r="B10" s="5">
        <v>9</v>
      </c>
      <c r="C10" s="16">
        <v>8284</v>
      </c>
      <c r="D10" s="10" t="s">
        <v>138</v>
      </c>
      <c r="E10" s="10" t="s">
        <v>98</v>
      </c>
      <c r="F10" s="10" t="s">
        <v>74</v>
      </c>
      <c r="G10" s="5" t="str">
        <f>IFERROR(INDEX(code!$B$10:$B$13, MATCH(CENTRE_TEST!$E$10, code!$A$10:$A$13, 0)), "")</f>
        <v>ARRIVEE</v>
      </c>
      <c r="H10" s="5" t="s">
        <v>26</v>
      </c>
      <c r="I10" s="5" t="str">
        <f>CENTRE_TEST!$I$10</f>
        <v>GLOBAL</v>
      </c>
      <c r="J10" s="5" t="str">
        <f>UPPER(TRIM(SUBSTITUTE(G10," ",""))) &amp; "|" &amp;
 UPPER(TRIM(SUBSTITUTE(H10," ",""))) &amp; "|" &amp;
 UPPER(TRIM(SUBSTITUTE(I10," ","")))</f>
        <v>ARRIVEE|CO|GLOBAL</v>
      </c>
      <c r="K10" s="19">
        <f>IFERROR(SUMIFS(INPUT_VOLUMES!$D:$D,INPUT_VOLUMES!$A:$A,$G10,INPUT_VOLUMES!$B:$B,$H10,INPUT_VOLUMES!$C:$C,$I10),0)</f>
        <v>6000</v>
      </c>
      <c r="L10" s="19">
        <f>K10/PARAMS!$B$2</f>
        <v>22.727272727272727</v>
      </c>
      <c r="M10" s="19">
        <f>IF(F10="Sac",
   L10 / PARAMS!$B$6,
   L10
)</f>
        <v>22.727272727272727</v>
      </c>
      <c r="N10" s="19">
        <f>IFERROR(INDEX(CENTRE_TEST!$L:$L,MATCH(P10,CENTRE_TEST!$M:$M,0)),0)</f>
        <v>0.41166666666666701</v>
      </c>
      <c r="O10" s="19">
        <f>IFERROR(
   M10 * (N10/60) * (PARAMS!$B$5 / 100),
0)</f>
        <v>0.15593434343434356</v>
      </c>
      <c r="P10" s="10" t="str">
        <f t="shared" si="0"/>
        <v>RÉCUPÉRATION FACTURE MAG</v>
      </c>
    </row>
    <row r="11" spans="1:16" hidden="1" x14ac:dyDescent="0.3">
      <c r="A11" s="5">
        <v>4975</v>
      </c>
      <c r="B11" s="5">
        <v>10</v>
      </c>
      <c r="C11" s="16">
        <v>8284</v>
      </c>
      <c r="D11" s="10" t="s">
        <v>138</v>
      </c>
      <c r="E11" s="10" t="s">
        <v>99</v>
      </c>
      <c r="F11" s="10" t="s">
        <v>74</v>
      </c>
      <c r="G11" s="5" t="str">
        <f>IFERROR(INDEX(code!$B$10:$B$13, MATCH(CENTRE_TEST!$E$11, code!$A$10:$A$13, 0)), "")</f>
        <v>ARRIVEE</v>
      </c>
      <c r="H11" s="5" t="s">
        <v>26</v>
      </c>
      <c r="I11" s="5" t="str">
        <f>CENTRE_TEST!$I$11</f>
        <v>GLOBAL</v>
      </c>
      <c r="J11" s="5" t="str">
        <f>UPPER(TRIM(SUBSTITUTE(G11," ",""))) &amp; "|" &amp;
 UPPER(TRIM(SUBSTITUTE(H11," ",""))) &amp; "|" &amp;
 UPPER(TRIM(SUBSTITUTE(I11," ","")))</f>
        <v>ARRIVEE|CO|GLOBAL</v>
      </c>
      <c r="K11" s="19">
        <f>IFERROR(SUMIFS(INPUT_VOLUMES!$D:$D,INPUT_VOLUMES!$A:$A,$G11,INPUT_VOLUMES!$B:$B,$H11,INPUT_VOLUMES!$C:$C,$I11),0)</f>
        <v>6000</v>
      </c>
      <c r="L11" s="19">
        <f>K11/PARAMS!$B$2</f>
        <v>22.727272727272727</v>
      </c>
      <c r="M11" s="19">
        <f>IF(F11="Sac",
   L11 / PARAMS!$B$6,
   L11
)</f>
        <v>22.727272727272727</v>
      </c>
      <c r="N11" s="19" t="str">
        <f>IFERROR(INDEX(CENTRE_TEST!$L:$L,MATCH(P11,CENTRE_TEST!$M:$M,0)),0)</f>
        <v>NULL</v>
      </c>
      <c r="O11" s="19">
        <f>IFERROR(
   M11 * (N11/60) * (PARAMS!$B$5 / 100),
0)</f>
        <v>0</v>
      </c>
      <c r="P11" s="10" t="str">
        <f t="shared" si="0"/>
        <v>PASSATION SUR REGISTRE</v>
      </c>
    </row>
    <row r="12" spans="1:16" hidden="1" x14ac:dyDescent="0.3">
      <c r="A12" s="5">
        <v>4976</v>
      </c>
      <c r="B12" s="5">
        <v>11</v>
      </c>
      <c r="C12" s="16">
        <v>8284</v>
      </c>
      <c r="D12" s="10" t="s">
        <v>138</v>
      </c>
      <c r="E12" s="10" t="s">
        <v>70</v>
      </c>
      <c r="F12" s="10" t="s">
        <v>74</v>
      </c>
      <c r="G12" s="5" t="str">
        <f>IFERROR(INDEX(code!$B$10:$B$13, MATCH(CENTRE_TEST!$E$12, code!$A$10:$A$13, 0)), "")</f>
        <v>ARRIVEE</v>
      </c>
      <c r="H12" s="5" t="s">
        <v>26</v>
      </c>
      <c r="I12" s="5" t="str">
        <f>CENTRE_TEST!$I$12</f>
        <v>GLOBAL</v>
      </c>
      <c r="J12" s="5" t="str">
        <f>UPPER(TRIM(SUBSTITUTE(G12," ",""))) &amp; "|" &amp;
 UPPER(TRIM(SUBSTITUTE(H12," ",""))) &amp; "|" &amp;
 UPPER(TRIM(SUBSTITUTE(I12," ","")))</f>
        <v>ARRIVEE|CO|GLOBAL</v>
      </c>
      <c r="K12" s="19">
        <f>IFERROR(SUMIFS(INPUT_VOLUMES!$D:$D,INPUT_VOLUMES!$A:$A,$G12,INPUT_VOLUMES!$B:$B,$H12,INPUT_VOLUMES!$C:$C,$I12),0)</f>
        <v>6000</v>
      </c>
      <c r="L12" s="19">
        <f>K12/PARAMS!$B$2</f>
        <v>22.727272727272727</v>
      </c>
      <c r="M12" s="19">
        <f>IF(F12="Sac",
   L12 / PARAMS!$B$6,
   L12
)</f>
        <v>22.727272727272727</v>
      </c>
      <c r="N12" s="19">
        <f>IFERROR(INDEX(CENTRE_TEST!$L:$L,MATCH(P12,CENTRE_TEST!$M:$M,0)),0)</f>
        <v>0.19</v>
      </c>
      <c r="O12" s="19">
        <f>IFERROR(
   M12 * (N12/60) * (PARAMS!$B$5 / 100),
0)</f>
        <v>7.1969696969696961E-2</v>
      </c>
      <c r="P12" s="10" t="str">
        <f t="shared" si="0"/>
        <v>EDITION PART</v>
      </c>
    </row>
    <row r="13" spans="1:16" hidden="1" x14ac:dyDescent="0.3">
      <c r="A13" s="5">
        <v>4977</v>
      </c>
      <c r="B13" s="5">
        <v>12</v>
      </c>
      <c r="C13" s="16">
        <v>8285</v>
      </c>
      <c r="D13" s="10" t="s">
        <v>139</v>
      </c>
      <c r="E13" s="10" t="s">
        <v>50</v>
      </c>
      <c r="F13" s="10" t="s">
        <v>44</v>
      </c>
      <c r="G13" s="5" t="str">
        <f>IFERROR(INDEX(code!$B$10:$B$13, MATCH(CENTRE_TEST!$E$13, code!$A$10:$A$13, 0)), "")</f>
        <v>ARRIVEE</v>
      </c>
      <c r="H13" s="5" t="s">
        <v>19</v>
      </c>
      <c r="I13" s="5" t="str">
        <f>CENTRE_TEST!$I$13</f>
        <v>GLOBAL</v>
      </c>
      <c r="J13" s="5" t="str">
        <f>UPPER(TRIM(SUBSTITUTE(G13," ",""))) &amp; "|" &amp;
 UPPER(TRIM(SUBSTITUTE(H13," ",""))) &amp; "|" &amp;
 UPPER(TRIM(SUBSTITUTE(I13," ","")))</f>
        <v>ARRIVEE|AMANA|GLOBAL</v>
      </c>
      <c r="K13" s="19">
        <f>IFERROR(SUMIFS(INPUT_VOLUMES!$D:$D,INPUT_VOLUMES!$A:$A,$G13,INPUT_VOLUMES!$B:$B,$H13,INPUT_VOLUMES!$C:$C,$I13),0)</f>
        <v>50000</v>
      </c>
      <c r="L13" s="19">
        <f>K13/PARAMS!$B$2</f>
        <v>189.39393939393941</v>
      </c>
      <c r="M13" s="19">
        <f>IF(F13="Sac",
   L13 / PARAMS!$B$6,
   L13
)</f>
        <v>189.39393939393941</v>
      </c>
      <c r="N13" s="19">
        <f>IFERROR(INDEX(CENTRE_TEST!$L:$L,MATCH(P13,CENTRE_TEST!$M:$M,0)),0)</f>
        <v>0.18</v>
      </c>
      <c r="O13" s="19">
        <f>IFERROR(
   M13 * (N13/60) * (PARAMS!$B$5 / 100),
0)</f>
        <v>0.56818181818181823</v>
      </c>
      <c r="P13" s="10" t="str">
        <f t="shared" si="0"/>
        <v>TRI &amp; RÉPARTITION ENTRE : PP, GP</v>
      </c>
    </row>
    <row r="14" spans="1:16" hidden="1" x14ac:dyDescent="0.3">
      <c r="A14" s="5">
        <v>4978</v>
      </c>
      <c r="B14" s="5">
        <v>13</v>
      </c>
      <c r="C14" s="16">
        <v>8285</v>
      </c>
      <c r="D14" s="10" t="s">
        <v>139</v>
      </c>
      <c r="E14" s="10" t="s">
        <v>80</v>
      </c>
      <c r="F14" s="10" t="s">
        <v>76</v>
      </c>
      <c r="G14" s="5" t="str">
        <f>IFERROR(INDEX(code!$B$10:$B$13, MATCH(CENTRE_TEST!$E$14, code!$A$10:$A$13, 0)), "")</f>
        <v>ARRIVEE</v>
      </c>
      <c r="H14" s="5" t="s">
        <v>19</v>
      </c>
      <c r="I14" s="5" t="str">
        <f>CENTRE_TEST!$I$14</f>
        <v>GLOBAL</v>
      </c>
      <c r="J14" s="5" t="str">
        <f>UPPER(TRIM(SUBSTITUTE(G14," ",""))) &amp; "|" &amp;
 UPPER(TRIM(SUBSTITUTE(H14," ",""))) &amp; "|" &amp;
 UPPER(TRIM(SUBSTITUTE(I14," ","")))</f>
        <v>ARRIVEE|AMANA|GLOBAL</v>
      </c>
      <c r="K14" s="19">
        <f>IFERROR(SUMIFS(INPUT_VOLUMES!$D:$D,INPUT_VOLUMES!$A:$A,$G14,INPUT_VOLUMES!$B:$B,$H14,INPUT_VOLUMES!$C:$C,$I14),0)</f>
        <v>50000</v>
      </c>
      <c r="L14" s="19">
        <f>K14/PARAMS!$B$2</f>
        <v>189.39393939393941</v>
      </c>
      <c r="M14" s="19">
        <f>IF(F14="Sac",
   L14 / PARAMS!$B$6,
   L14
)</f>
        <v>189.39393939393941</v>
      </c>
      <c r="N14" s="19" t="str">
        <f>IFERROR(INDEX(CENTRE_TEST!$L:$L,MATCH(P14,CENTRE_TEST!$M:$M,0)),0)</f>
        <v>NULL</v>
      </c>
      <c r="O14" s="19">
        <f>IFERROR(
   M14 * (N14/60) * (PARAMS!$B$5 / 100),
0)</f>
        <v>0</v>
      </c>
      <c r="P14" s="10" t="str">
        <f t="shared" si="0"/>
        <v>TRI COURRIER</v>
      </c>
    </row>
    <row r="15" spans="1:16" hidden="1" x14ac:dyDescent="0.3">
      <c r="A15" s="5">
        <v>4979</v>
      </c>
      <c r="B15" s="5">
        <v>14</v>
      </c>
      <c r="C15" s="16">
        <v>8288</v>
      </c>
      <c r="D15" s="10" t="s">
        <v>140</v>
      </c>
      <c r="E15" s="10" t="s">
        <v>102</v>
      </c>
      <c r="F15" s="10" t="s">
        <v>62</v>
      </c>
      <c r="G15" s="5" t="str">
        <f>IFERROR(INDEX(code!$B$10:$B$13, MATCH(CENTRE_TEST!$E$15, code!$A$10:$A$13, 0)), "")</f>
        <v>ARRIVEE</v>
      </c>
      <c r="H15" s="5" t="s">
        <v>19</v>
      </c>
      <c r="I15" s="5" t="str">
        <f>CENTRE_TEST!$I$15</f>
        <v>AXES</v>
      </c>
      <c r="J15" s="5" t="str">
        <f>UPPER(TRIM(SUBSTITUTE(G15," ",""))) &amp; "|" &amp;
 UPPER(TRIM(SUBSTITUTE(H15," ",""))) &amp; "|" &amp;
 UPPER(TRIM(SUBSTITUTE(I15," ","")))</f>
        <v>ARRIVEE|AMANA|AXES</v>
      </c>
      <c r="K15" s="19">
        <f>IFERROR(SUMIFS(INPUT_VOLUMES!$D:$D,INPUT_VOLUMES!$A:$A,$G15,INPUT_VOLUMES!$B:$B,$H15,INPUT_VOLUMES!$C:$C,$I15),0)</f>
        <v>0</v>
      </c>
      <c r="L15" s="19">
        <f>K15/PARAMS!$B$2</f>
        <v>0</v>
      </c>
      <c r="M15" s="19">
        <f>IF(F15="Sac",
   L15 / PARAMS!$B$6,
   L15
)</f>
        <v>0</v>
      </c>
      <c r="N15" s="19" t="str">
        <f>IFERROR(INDEX(CENTRE_TEST!$L:$L,MATCH(P15,CENTRE_TEST!$M:$M,0)),0)</f>
        <v>NULL</v>
      </c>
      <c r="O15" s="19">
        <f>IFERROR(
   M15 * (N15/60) * (PARAMS!$B$5 / 100),
0)</f>
        <v>0</v>
      </c>
      <c r="P15" s="10" t="str">
        <f t="shared" si="0"/>
        <v>ETAT DE LA CAISSE</v>
      </c>
    </row>
    <row r="16" spans="1:16" hidden="1" x14ac:dyDescent="0.3">
      <c r="A16" s="5">
        <v>4980</v>
      </c>
      <c r="B16" s="5">
        <v>15</v>
      </c>
      <c r="C16" s="16">
        <v>8288</v>
      </c>
      <c r="D16" s="10" t="s">
        <v>140</v>
      </c>
      <c r="E16" s="10" t="s">
        <v>103</v>
      </c>
      <c r="F16" s="10" t="s">
        <v>62</v>
      </c>
      <c r="G16" s="5" t="str">
        <f>IFERROR(INDEX(code!$B$10:$B$13, MATCH(CENTRE_TEST!$E$16, code!$A$10:$A$13, 0)), "")</f>
        <v>ARRIVEE</v>
      </c>
      <c r="H16" s="5" t="s">
        <v>19</v>
      </c>
      <c r="I16" s="5" t="str">
        <f>CENTRE_TEST!$I$16</f>
        <v>AXES</v>
      </c>
      <c r="J16" s="5" t="str">
        <f>UPPER(TRIM(SUBSTITUTE(G16," ",""))) &amp; "|" &amp;
 UPPER(TRIM(SUBSTITUTE(H16," ",""))) &amp; "|" &amp;
 UPPER(TRIM(SUBSTITUTE(I16," ","")))</f>
        <v>ARRIVEE|AMANA|AXES</v>
      </c>
      <c r="K16" s="19">
        <f>IFERROR(SUMIFS(INPUT_VOLUMES!$D:$D,INPUT_VOLUMES!$A:$A,$G16,INPUT_VOLUMES!$B:$B,$H16,INPUT_VOLUMES!$C:$C,$I16),0)</f>
        <v>0</v>
      </c>
      <c r="L16" s="19">
        <f>K16/PARAMS!$B$2</f>
        <v>0</v>
      </c>
      <c r="M16" s="19">
        <f>IF(F16="Sac",
   L16 / PARAMS!$B$6,
   L16
)</f>
        <v>0</v>
      </c>
      <c r="N16" s="19">
        <f>IFERROR(INDEX(CENTRE_TEST!$L:$L,MATCH(P16,CENTRE_TEST!$M:$M,0)),0)</f>
        <v>5</v>
      </c>
      <c r="O16" s="19">
        <f>IFERROR(
   M16 * (N16/60) * (PARAMS!$B$5 / 100),
0)</f>
        <v>0</v>
      </c>
      <c r="P16" s="10" t="str">
        <f>UPPER(TRIM(SUBSTITUTE(SUBSTITUTE(E16,CHAR(10)," "),CHAR(13)," ")))</f>
        <v>BP INTÉLLIGENTE</v>
      </c>
    </row>
    <row r="17" spans="1:16" hidden="1" x14ac:dyDescent="0.3">
      <c r="A17" s="5">
        <v>4981</v>
      </c>
      <c r="B17" s="5">
        <v>16</v>
      </c>
      <c r="C17" s="16">
        <v>8288</v>
      </c>
      <c r="D17" s="10" t="s">
        <v>140</v>
      </c>
      <c r="E17" s="10" t="s">
        <v>104</v>
      </c>
      <c r="F17" s="10" t="s">
        <v>62</v>
      </c>
      <c r="G17" s="5" t="str">
        <f>IFERROR(INDEX(code!$B$10:$B$13, MATCH(CENTRE_TEST!$E$17, code!$A$10:$A$13, 0)), "")</f>
        <v>ARRIVEE</v>
      </c>
      <c r="H17" s="5" t="s">
        <v>19</v>
      </c>
      <c r="I17" s="5" t="str">
        <f>CENTRE_TEST!$I$17</f>
        <v>AXES</v>
      </c>
      <c r="J17" s="5" t="str">
        <f>UPPER(TRIM(SUBSTITUTE(G17," ",""))) &amp; "|" &amp;
 UPPER(TRIM(SUBSTITUTE(H17," ",""))) &amp; "|" &amp;
 UPPER(TRIM(SUBSTITUTE(I17," ","")))</f>
        <v>ARRIVEE|AMANA|AXES</v>
      </c>
      <c r="K17" s="19">
        <f>IFERROR(SUMIFS(INPUT_VOLUMES!$D:$D,INPUT_VOLUMES!$A:$A,$G17,INPUT_VOLUMES!$B:$B,$H17,INPUT_VOLUMES!$C:$C,$I17),0)</f>
        <v>0</v>
      </c>
      <c r="L17" s="19">
        <f>K17/PARAMS!$B$2</f>
        <v>0</v>
      </c>
      <c r="M17" s="19">
        <f>IF(F17="Sac",
   L17 / PARAMS!$B$6,
   L17
)</f>
        <v>0</v>
      </c>
      <c r="N17" s="19">
        <f>IFERROR(INDEX(CENTRE_TEST!$L:$L,MATCH(P17,CENTRE_TEST!$M:$M,0)),0)</f>
        <v>5</v>
      </c>
      <c r="O17" s="19">
        <f>IFERROR(
   M17 * (N17/60) * (PARAMS!$B$5 / 100),
0)</f>
        <v>0</v>
      </c>
      <c r="P17" s="10" t="str">
        <f t="shared" si="0"/>
        <v>SUIVI RÉLAISATIONS COMMERCIALES</v>
      </c>
    </row>
    <row r="18" spans="1:16" hidden="1" x14ac:dyDescent="0.3">
      <c r="A18" s="5">
        <v>4982</v>
      </c>
      <c r="B18" s="5">
        <v>17</v>
      </c>
      <c r="C18" s="16">
        <v>8288</v>
      </c>
      <c r="D18" s="10" t="s">
        <v>140</v>
      </c>
      <c r="E18" s="10" t="s">
        <v>105</v>
      </c>
      <c r="F18" s="10" t="s">
        <v>62</v>
      </c>
      <c r="G18" s="5" t="str">
        <f>IFERROR(INDEX(code!$B$10:$B$13, MATCH(CENTRE_TEST!$E$18, code!$A$10:$A$13, 0)), "")</f>
        <v>ARRIVEE</v>
      </c>
      <c r="H18" s="5" t="s">
        <v>19</v>
      </c>
      <c r="I18" s="5" t="str">
        <f>CENTRE_TEST!$I$18</f>
        <v>AXES</v>
      </c>
      <c r="J18" s="5" t="str">
        <f>UPPER(TRIM(SUBSTITUTE(G18," ",""))) &amp; "|" &amp;
 UPPER(TRIM(SUBSTITUTE(H18," ",""))) &amp; "|" &amp;
 UPPER(TRIM(SUBSTITUTE(I18," ","")))</f>
        <v>ARRIVEE|AMANA|AXES</v>
      </c>
      <c r="K18" s="19">
        <f>IFERROR(SUMIFS(INPUT_VOLUMES!$D:$D,INPUT_VOLUMES!$A:$A,$G18,INPUT_VOLUMES!$B:$B,$H18,INPUT_VOLUMES!$C:$C,$I18),0)</f>
        <v>0</v>
      </c>
      <c r="L18" s="19">
        <f>K18/PARAMS!$B$2</f>
        <v>0</v>
      </c>
      <c r="M18" s="19">
        <f>IF(F18="Sac",
   L18 / PARAMS!$B$6,
   L18
)</f>
        <v>0</v>
      </c>
      <c r="N18" s="19" t="str">
        <f>IFERROR(INDEX(CENTRE_TEST!$L:$L,MATCH(P18,CENTRE_TEST!$M:$M,0)),0)</f>
        <v>NULL</v>
      </c>
      <c r="O18" s="19">
        <f>IFERROR(
   M18 * (N18/60) * (PARAMS!$B$5 / 100),
0)</f>
        <v>0</v>
      </c>
      <c r="P18" s="10" t="str">
        <f t="shared" si="0"/>
        <v>CANEVAS HS</v>
      </c>
    </row>
    <row r="19" spans="1:16" hidden="1" x14ac:dyDescent="0.3">
      <c r="A19" s="5">
        <v>4983</v>
      </c>
      <c r="B19" s="5">
        <v>18</v>
      </c>
      <c r="C19" s="16">
        <v>8288</v>
      </c>
      <c r="D19" s="10" t="s">
        <v>140</v>
      </c>
      <c r="E19" s="10" t="s">
        <v>106</v>
      </c>
      <c r="F19" s="10" t="s">
        <v>62</v>
      </c>
      <c r="G19" s="5" t="str">
        <f>IFERROR(INDEX(code!$B$10:$B$13, MATCH(CENTRE_TEST!$E$19, code!$A$10:$A$13, 0)), "")</f>
        <v>ARRIVEE</v>
      </c>
      <c r="H19" s="5" t="s">
        <v>19</v>
      </c>
      <c r="I19" s="5" t="str">
        <f>CENTRE_TEST!$I$19</f>
        <v>AXES</v>
      </c>
      <c r="J19" s="5" t="str">
        <f>UPPER(TRIM(SUBSTITUTE(G19," ",""))) &amp; "|" &amp;
 UPPER(TRIM(SUBSTITUTE(H19," ",""))) &amp; "|" &amp;
 UPPER(TRIM(SUBSTITUTE(I19," ","")))</f>
        <v>ARRIVEE|AMANA|AXES</v>
      </c>
      <c r="K19" s="19">
        <f>IFERROR(SUMIFS(INPUT_VOLUMES!$D:$D,INPUT_VOLUMES!$A:$A,$G19,INPUT_VOLUMES!$B:$B,$H19,INPUT_VOLUMES!$C:$C,$I19),0)</f>
        <v>0</v>
      </c>
      <c r="L19" s="19">
        <f>K19/PARAMS!$B$2</f>
        <v>0</v>
      </c>
      <c r="M19" s="19">
        <f>IF(F19="Sac",
   L19 / PARAMS!$B$6,
   L19
)</f>
        <v>0</v>
      </c>
      <c r="N19" s="19" t="str">
        <f>IFERROR(INDEX(CENTRE_TEST!$L:$L,MATCH(P19,CENTRE_TEST!$M:$M,0)),0)</f>
        <v>NULL</v>
      </c>
      <c r="O19" s="19">
        <f>IFERROR(
   M19 * (N19/60) * (PARAMS!$B$5 / 100),
0)</f>
        <v>0</v>
      </c>
      <c r="P19" s="10" t="str">
        <f t="shared" si="0"/>
        <v>POINTAG INTÉRIMAIRES</v>
      </c>
    </row>
    <row r="20" spans="1:16" hidden="1" x14ac:dyDescent="0.3">
      <c r="A20" s="5">
        <v>4984</v>
      </c>
      <c r="B20" s="5">
        <v>19</v>
      </c>
      <c r="C20" s="16">
        <v>8288</v>
      </c>
      <c r="D20" s="10" t="s">
        <v>140</v>
      </c>
      <c r="E20" s="10" t="s">
        <v>107</v>
      </c>
      <c r="F20" s="10" t="s">
        <v>62</v>
      </c>
      <c r="G20" s="5" t="str">
        <f>IFERROR(INDEX(code!$B$10:$B$13, MATCH(CENTRE_TEST!$E$20, code!$A$10:$A$13, 0)), "")</f>
        <v>ARRIVEE</v>
      </c>
      <c r="H20" s="5" t="s">
        <v>19</v>
      </c>
      <c r="I20" s="5" t="str">
        <f>CENTRE_TEST!$I$20</f>
        <v>AXES</v>
      </c>
      <c r="J20" s="5" t="str">
        <f>UPPER(TRIM(SUBSTITUTE(G20," ",""))) &amp; "|" &amp;
 UPPER(TRIM(SUBSTITUTE(H20," ",""))) &amp; "|" &amp;
 UPPER(TRIM(SUBSTITUTE(I20," ","")))</f>
        <v>ARRIVEE|AMANA|AXES</v>
      </c>
      <c r="K20" s="19">
        <f>IFERROR(SUMIFS(INPUT_VOLUMES!$D:$D,INPUT_VOLUMES!$A:$A,$G20,INPUT_VOLUMES!$B:$B,$H20,INPUT_VOLUMES!$C:$C,$I20),0)</f>
        <v>0</v>
      </c>
      <c r="L20" s="19">
        <f>K20/PARAMS!$B$2</f>
        <v>0</v>
      </c>
      <c r="M20" s="19">
        <f>IF(F20="Sac",
   L20 / PARAMS!$B$6,
   L20
)</f>
        <v>0</v>
      </c>
      <c r="N20" s="19" t="str">
        <f>IFERROR(INDEX(CENTRE_TEST!$L:$L,MATCH(P20,CENTRE_TEST!$M:$M,0)),0)</f>
        <v>NULL</v>
      </c>
      <c r="O20" s="19">
        <f>IFERROR(
   M20 * (N20/60) * (PARAMS!$B$5 / 100),
0)</f>
        <v>0</v>
      </c>
      <c r="P20" s="10" t="str">
        <f t="shared" si="0"/>
        <v>SUIVI GARDIENNAGE ET FEMMES DE MÉNAGE</v>
      </c>
    </row>
    <row r="21" spans="1:16" hidden="1" x14ac:dyDescent="0.3">
      <c r="A21" s="5">
        <v>4985</v>
      </c>
      <c r="B21" s="5">
        <v>20</v>
      </c>
      <c r="C21" s="16">
        <v>8288</v>
      </c>
      <c r="D21" s="10" t="s">
        <v>140</v>
      </c>
      <c r="E21" s="10" t="s">
        <v>108</v>
      </c>
      <c r="F21" s="10" t="s">
        <v>62</v>
      </c>
      <c r="G21" s="5" t="str">
        <f>IFERROR(INDEX(code!$B$10:$B$13, MATCH(CENTRE_TEST!$E$21, code!$A$10:$A$13, 0)), "")</f>
        <v>ARRIVEE</v>
      </c>
      <c r="H21" s="5" t="s">
        <v>19</v>
      </c>
      <c r="I21" s="5" t="str">
        <f>CENTRE_TEST!$I$21</f>
        <v>AXES</v>
      </c>
      <c r="J21" s="5" t="str">
        <f>UPPER(TRIM(SUBSTITUTE(G21," ",""))) &amp; "|" &amp;
 UPPER(TRIM(SUBSTITUTE(H21," ",""))) &amp; "|" &amp;
 UPPER(TRIM(SUBSTITUTE(I21," ","")))</f>
        <v>ARRIVEE|AMANA|AXES</v>
      </c>
      <c r="K21" s="19">
        <f>IFERROR(SUMIFS(INPUT_VOLUMES!$D:$D,INPUT_VOLUMES!$A:$A,$G21,INPUT_VOLUMES!$B:$B,$H21,INPUT_VOLUMES!$C:$C,$I21),0)</f>
        <v>0</v>
      </c>
      <c r="L21" s="19">
        <f>K21/PARAMS!$B$2</f>
        <v>0</v>
      </c>
      <c r="M21" s="19">
        <f>IF(F21="Sac",
   L21 / PARAMS!$B$6,
   L21
)</f>
        <v>0</v>
      </c>
      <c r="N21" s="19" t="str">
        <f>IFERROR(INDEX(CENTRE_TEST!$L:$L,MATCH(P21,CENTRE_TEST!$M:$M,0)),0)</f>
        <v>NULL</v>
      </c>
      <c r="O21" s="19">
        <f>IFERROR(
   M21 * (N21/60) * (PARAMS!$B$5 / 100),
0)</f>
        <v>0</v>
      </c>
      <c r="P21" s="10" t="str">
        <f t="shared" si="0"/>
        <v>SUIVI DES ABSENCES</v>
      </c>
    </row>
    <row r="22" spans="1:16" hidden="1" x14ac:dyDescent="0.3">
      <c r="A22" s="5">
        <v>4986</v>
      </c>
      <c r="B22" s="5">
        <v>21</v>
      </c>
      <c r="C22" s="16">
        <v>8288</v>
      </c>
      <c r="D22" s="10" t="s">
        <v>140</v>
      </c>
      <c r="E22" s="10" t="s">
        <v>109</v>
      </c>
      <c r="F22" s="10" t="s">
        <v>62</v>
      </c>
      <c r="G22" s="5" t="str">
        <f>IFERROR(INDEX(code!$B$10:$B$13, MATCH(CENTRE_TEST!$E$22, code!$A$10:$A$13, 0)), "")</f>
        <v>ARRIVEE</v>
      </c>
      <c r="H22" s="5" t="s">
        <v>19</v>
      </c>
      <c r="I22" s="5" t="str">
        <f>CENTRE_TEST!$I$22</f>
        <v>AXES</v>
      </c>
      <c r="J22" s="5" t="str">
        <f>UPPER(TRIM(SUBSTITUTE(G22," ",""))) &amp; "|" &amp;
 UPPER(TRIM(SUBSTITUTE(H22," ",""))) &amp; "|" &amp;
 UPPER(TRIM(SUBSTITUTE(I22," ","")))</f>
        <v>ARRIVEE|AMANA|AXES</v>
      </c>
      <c r="K22" s="19">
        <f>IFERROR(SUMIFS(INPUT_VOLUMES!$D:$D,INPUT_VOLUMES!$A:$A,$G22,INPUT_VOLUMES!$B:$B,$H22,INPUT_VOLUMES!$C:$C,$I22),0)</f>
        <v>0</v>
      </c>
      <c r="L22" s="19">
        <f>K22/PARAMS!$B$2</f>
        <v>0</v>
      </c>
      <c r="M22" s="19">
        <f>IF(F22="Sac",
   L22 / PARAMS!$B$6,
   L22
)</f>
        <v>0</v>
      </c>
      <c r="N22" s="19" t="str">
        <f>IFERROR(INDEX(CENTRE_TEST!$L:$L,MATCH(P22,CENTRE_TEST!$M:$M,0)),0)</f>
        <v>NULL</v>
      </c>
      <c r="O22" s="19">
        <f>IFERROR(
   M22 * (N22/60) * (PARAMS!$B$5 / 100),
0)</f>
        <v>0</v>
      </c>
      <c r="P22" s="10" t="str">
        <f t="shared" si="0"/>
        <v>RAPPORT ACTIVITÉ (ECHANTILLONNAGE POUR VÉRIFER STATUT, POIDS, CONTACT…</v>
      </c>
    </row>
    <row r="23" spans="1:16" x14ac:dyDescent="0.3">
      <c r="A23" s="5">
        <v>4987</v>
      </c>
      <c r="B23" s="5">
        <v>22</v>
      </c>
      <c r="C23" s="16">
        <v>8286</v>
      </c>
      <c r="D23" s="10" t="s">
        <v>141</v>
      </c>
      <c r="E23" s="10" t="s">
        <v>45</v>
      </c>
      <c r="F23" s="10" t="s">
        <v>44</v>
      </c>
      <c r="G23" s="5" t="str">
        <f>IFERROR(INDEX(code!$B$10:$B$13, MATCH(CENTRE_TEST!$E$23, code!$A$10:$A$13, 0)), "")</f>
        <v>ARRIVEE</v>
      </c>
      <c r="H23" s="5" t="s">
        <v>19</v>
      </c>
      <c r="I23" s="5" t="str">
        <f>CENTRE_TEST!$I$23</f>
        <v>GLOBAL</v>
      </c>
      <c r="J23" s="5" t="str">
        <f>UPPER(TRIM(SUBSTITUTE(G23," ",""))) &amp; "|" &amp;
 UPPER(TRIM(SUBSTITUTE(H23," ",""))) &amp; "|" &amp;
 UPPER(TRIM(SUBSTITUTE(I23," ","")))</f>
        <v>ARRIVEE|AMANA|GLOBAL</v>
      </c>
      <c r="K23" s="19">
        <f>IFERROR(SUMIFS(INPUT_VOLUMES!$D:$D,INPUT_VOLUMES!$A:$A,$G23,INPUT_VOLUMES!$B:$B,$H23,INPUT_VOLUMES!$C:$C,$I23),0)</f>
        <v>50000</v>
      </c>
      <c r="L23" s="19">
        <f>K23/PARAMS!$B$2</f>
        <v>189.39393939393941</v>
      </c>
      <c r="M23" s="19">
        <f>IF(F23="Sac",
   L23 / PARAMS!$B$6,
   L23
)</f>
        <v>189.39393939393941</v>
      </c>
      <c r="N23" s="19">
        <f>IFERROR(INDEX(CENTRE_TEST!$L:$L,MATCH(P23,CENTRE_TEST!$M:$M,0)),0)</f>
        <v>0.2</v>
      </c>
      <c r="O23" s="19">
        <f>IFERROR(
   M23 * (N23/60) * (PARAMS!$B$5 / 100),
0)</f>
        <v>0.63131313131313138</v>
      </c>
      <c r="P23" s="10" t="str">
        <f t="shared" si="0"/>
        <v>DÉCHARGEMENT VAN COLIS</v>
      </c>
    </row>
    <row r="24" spans="1:16" x14ac:dyDescent="0.3">
      <c r="A24" s="5">
        <v>4988</v>
      </c>
      <c r="B24" s="5">
        <v>23</v>
      </c>
      <c r="C24" s="16">
        <v>8286</v>
      </c>
      <c r="D24" s="10" t="s">
        <v>141</v>
      </c>
      <c r="E24" s="10" t="s">
        <v>47</v>
      </c>
      <c r="F24" s="10" t="s">
        <v>46</v>
      </c>
      <c r="G24" s="5" t="str">
        <f>IFERROR(INDEX(code!$B$10:$B$13, MATCH(CENTRE_TEST!$E$24, code!$A$10:$A$13, 0)), "")</f>
        <v>ARRIVEE</v>
      </c>
      <c r="H24" s="5" t="s">
        <v>19</v>
      </c>
      <c r="I24" s="5" t="str">
        <f>CENTRE_TEST!$I$24</f>
        <v>GLOBAL</v>
      </c>
      <c r="J24" s="5" t="str">
        <f>UPPER(TRIM(SUBSTITUTE(G24," ",""))) &amp; "|" &amp;
 UPPER(TRIM(SUBSTITUTE(H24," ",""))) &amp; "|" &amp;
 UPPER(TRIM(SUBSTITUTE(I24," ","")))</f>
        <v>ARRIVEE|AMANA|GLOBAL</v>
      </c>
      <c r="K24" s="19">
        <f>IFERROR(SUMIFS(INPUT_VOLUMES!$D:$D,INPUT_VOLUMES!$A:$A,$G24,INPUT_VOLUMES!$B:$B,$H24,INPUT_VOLUMES!$C:$C,$I24),0)</f>
        <v>50000</v>
      </c>
      <c r="L24" s="19">
        <f>K24/PARAMS!$B$2</f>
        <v>189.39393939393941</v>
      </c>
      <c r="M24" s="19">
        <f>IF(F24="Sac",
   L24 / PARAMS!$B$6,
   L24
)</f>
        <v>37.878787878787882</v>
      </c>
      <c r="N24" s="19">
        <f>IFERROR(INDEX(CENTRE_TEST!$L:$L,MATCH(P24,CENTRE_TEST!$M:$M,0)),0)</f>
        <v>0.2</v>
      </c>
      <c r="O24" s="19">
        <f>IFERROR(
   M24 * (N24/60) * (PARAMS!$B$5 / 100),
0)</f>
        <v>0.12626262626262627</v>
      </c>
      <c r="P24" s="10" t="str">
        <f t="shared" si="0"/>
        <v>DÉCHARGEMENT VAN SAC</v>
      </c>
    </row>
    <row r="25" spans="1:16" x14ac:dyDescent="0.3">
      <c r="A25" s="5">
        <v>4989</v>
      </c>
      <c r="B25" s="5">
        <v>24</v>
      </c>
      <c r="C25" s="16">
        <v>8286</v>
      </c>
      <c r="D25" s="10" t="s">
        <v>141</v>
      </c>
      <c r="E25" s="10" t="s">
        <v>48</v>
      </c>
      <c r="F25" s="10" t="s">
        <v>46</v>
      </c>
      <c r="G25" s="5" t="str">
        <f>IFERROR(INDEX(code!$B$10:$B$13, MATCH(CENTRE_TEST!$E$25, code!$A$10:$A$13, 0)), "")</f>
        <v>ARRIVEE</v>
      </c>
      <c r="H25" s="5" t="s">
        <v>19</v>
      </c>
      <c r="I25" s="5" t="str">
        <f>CENTRE_TEST!$I$25</f>
        <v>GLOBAL</v>
      </c>
      <c r="J25" s="5" t="str">
        <f>UPPER(TRIM(SUBSTITUTE(G25," ",""))) &amp; "|" &amp;
 UPPER(TRIM(SUBSTITUTE(H25," ",""))) &amp; "|" &amp;
 UPPER(TRIM(SUBSTITUTE(I25," ","")))</f>
        <v>ARRIVEE|AMANA|GLOBAL</v>
      </c>
      <c r="K25" s="19">
        <f>IFERROR(SUMIFS(INPUT_VOLUMES!$D:$D,INPUT_VOLUMES!$A:$A,$G25,INPUT_VOLUMES!$B:$B,$H25,INPUT_VOLUMES!$C:$C,$I25),0)</f>
        <v>50000</v>
      </c>
      <c r="L25" s="19">
        <f>K25/PARAMS!$B$2</f>
        <v>189.39393939393941</v>
      </c>
      <c r="M25" s="19">
        <f>IF(F25="Sac",
   L25 / PARAMS!$B$6,
   L25
)</f>
        <v>37.878787878787882</v>
      </c>
      <c r="N25" s="19">
        <f>IFERROR(INDEX(CENTRE_TEST!$L:$L,MATCH(P25,CENTRE_TEST!$M:$M,0)),0)</f>
        <v>0.64500000000000002</v>
      </c>
      <c r="O25" s="19">
        <f>IFERROR(
   M25 * (N25/60) * (PARAMS!$B$5 / 100),
0)</f>
        <v>0.40719696969696978</v>
      </c>
      <c r="P25" s="10" t="str">
        <f t="shared" si="0"/>
        <v>OUVERTURE SAC</v>
      </c>
    </row>
    <row r="26" spans="1:16" x14ac:dyDescent="0.3">
      <c r="A26" s="5">
        <v>4990</v>
      </c>
      <c r="B26" s="5">
        <v>25</v>
      </c>
      <c r="C26" s="16">
        <v>8286</v>
      </c>
      <c r="D26" s="10" t="s">
        <v>141</v>
      </c>
      <c r="E26" s="10" t="s">
        <v>49</v>
      </c>
      <c r="F26" s="10" t="s">
        <v>46</v>
      </c>
      <c r="G26" s="5" t="str">
        <f>IFERROR(INDEX(code!$B$10:$B$13, MATCH(CENTRE_TEST!$E$26, code!$A$10:$A$13, 0)), "")</f>
        <v>ARRIVEE</v>
      </c>
      <c r="H26" s="5" t="s">
        <v>19</v>
      </c>
      <c r="I26" s="5" t="str">
        <f>CENTRE_TEST!$I$26</f>
        <v>GLOBAL</v>
      </c>
      <c r="J26" s="5" t="str">
        <f>UPPER(TRIM(SUBSTITUTE(G26," ",""))) &amp; "|" &amp;
 UPPER(TRIM(SUBSTITUTE(H26," ",""))) &amp; "|" &amp;
 UPPER(TRIM(SUBSTITUTE(I26," ","")))</f>
        <v>ARRIVEE|AMANA|GLOBAL</v>
      </c>
      <c r="K26" s="19">
        <f>IFERROR(SUMIFS(INPUT_VOLUMES!$D:$D,INPUT_VOLUMES!$A:$A,$G26,INPUT_VOLUMES!$B:$B,$H26,INPUT_VOLUMES!$C:$C,$I26),0)</f>
        <v>50000</v>
      </c>
      <c r="L26" s="19">
        <f>K26/PARAMS!$B$2</f>
        <v>189.39393939393941</v>
      </c>
      <c r="M26" s="19">
        <f>IF(F26="Sac",
   L26 / PARAMS!$B$6,
   L26
)</f>
        <v>37.878787878787882</v>
      </c>
      <c r="N26" s="19">
        <f>IFERROR(INDEX(CENTRE_TEST!$L:$L,MATCH(P26,CENTRE_TEST!$M:$M,0)),0)</f>
        <v>0.02</v>
      </c>
      <c r="O26" s="19">
        <f>IFERROR(
   M26 * (N26/60) * (PARAMS!$B$5 / 100),
0)</f>
        <v>1.2626262626262628E-2</v>
      </c>
      <c r="P26" s="10" t="str">
        <f t="shared" si="0"/>
        <v>VIDAGE SAC</v>
      </c>
    </row>
    <row r="27" spans="1:16" x14ac:dyDescent="0.3">
      <c r="A27" s="5">
        <v>4991</v>
      </c>
      <c r="B27" s="5">
        <v>26</v>
      </c>
      <c r="C27" s="16">
        <v>8286</v>
      </c>
      <c r="D27" s="10" t="s">
        <v>141</v>
      </c>
      <c r="E27" s="10" t="s">
        <v>51</v>
      </c>
      <c r="F27" s="10" t="s">
        <v>44</v>
      </c>
      <c r="G27" s="5" t="str">
        <f>IFERROR(INDEX(code!$B$10:$B$13, MATCH(CENTRE_TEST!$E$27, code!$A$10:$A$13, 0)), "")</f>
        <v>ARRIVEE</v>
      </c>
      <c r="H27" s="5" t="s">
        <v>19</v>
      </c>
      <c r="I27" s="5" t="str">
        <f>CENTRE_TEST!$I$27</f>
        <v>GLOBAL</v>
      </c>
      <c r="J27" s="5" t="str">
        <f>UPPER(TRIM(SUBSTITUTE(G27," ",""))) &amp; "|" &amp;
 UPPER(TRIM(SUBSTITUTE(H27," ",""))) &amp; "|" &amp;
 UPPER(TRIM(SUBSTITUTE(I27," ","")))</f>
        <v>ARRIVEE|AMANA|GLOBAL</v>
      </c>
      <c r="K27" s="19">
        <f>IFERROR(SUMIFS(INPUT_VOLUMES!$D:$D,INPUT_VOLUMES!$A:$A,$G27,INPUT_VOLUMES!$B:$B,$H27,INPUT_VOLUMES!$C:$C,$I27),0)</f>
        <v>50000</v>
      </c>
      <c r="L27" s="19">
        <f>K27/PARAMS!$B$2</f>
        <v>189.39393939393941</v>
      </c>
      <c r="M27" s="19">
        <f>IF(F27="Sac",
   L27 / PARAMS!$B$6,
   L27
)</f>
        <v>189.39393939393941</v>
      </c>
      <c r="N27" s="19">
        <f>IFERROR(INDEX(CENTRE_TEST!$L:$L,MATCH(P27,CENTRE_TEST!$M:$M,0)),0)</f>
        <v>3.3333333333333298E-2</v>
      </c>
      <c r="O27" s="19">
        <f>IFERROR(
   M27 * (N27/60) * (PARAMS!$B$5 / 100),
0)</f>
        <v>0.10521885521885513</v>
      </c>
      <c r="P27" s="10" t="str">
        <f t="shared" si="0"/>
        <v>SCAN &amp; RÉCEPTION SI</v>
      </c>
    </row>
    <row r="28" spans="1:16" x14ac:dyDescent="0.3">
      <c r="A28" s="5">
        <v>4992</v>
      </c>
      <c r="B28" s="5">
        <v>27</v>
      </c>
      <c r="C28" s="16">
        <v>8286</v>
      </c>
      <c r="D28" s="10" t="s">
        <v>141</v>
      </c>
      <c r="E28" s="10" t="s">
        <v>52</v>
      </c>
      <c r="F28" s="10" t="s">
        <v>44</v>
      </c>
      <c r="G28" s="5" t="str">
        <f>IFERROR(INDEX(code!$B$10:$B$13, MATCH(CENTRE_TEST!$E$28, code!$A$10:$A$13, 0)), "")</f>
        <v>ARRIVEE</v>
      </c>
      <c r="H28" s="5" t="s">
        <v>19</v>
      </c>
      <c r="I28" s="5" t="str">
        <f>CENTRE_TEST!$I$28</f>
        <v>GLOBAL</v>
      </c>
      <c r="J28" s="5" t="str">
        <f>UPPER(TRIM(SUBSTITUTE(G28," ",""))) &amp; "|" &amp;
 UPPER(TRIM(SUBSTITUTE(H28," ",""))) &amp; "|" &amp;
 UPPER(TRIM(SUBSTITUTE(I28," ","")))</f>
        <v>ARRIVEE|AMANA|GLOBAL</v>
      </c>
      <c r="K28" s="19">
        <f>IFERROR(SUMIFS(INPUT_VOLUMES!$D:$D,INPUT_VOLUMES!$A:$A,$G28,INPUT_VOLUMES!$B:$B,$H28,INPUT_VOLUMES!$C:$C,$I28),0)</f>
        <v>50000</v>
      </c>
      <c r="L28" s="19">
        <f>K28/PARAMS!$B$2</f>
        <v>189.39393939393941</v>
      </c>
      <c r="M28" s="19">
        <f>IF(F28="Sac",
   L28 / PARAMS!$B$6,
   L28
)</f>
        <v>189.39393939393941</v>
      </c>
      <c r="N28" s="19">
        <f>IFERROR(INDEX(CENTRE_TEST!$L:$L,MATCH(P28,CENTRE_TEST!$M:$M,0)),0)</f>
        <v>3.3333333333333298E-2</v>
      </c>
      <c r="O28" s="19">
        <f>IFERROR(
   M28 * (N28/60) * (PARAMS!$B$5 / 100),
0)</f>
        <v>0.10521885521885513</v>
      </c>
      <c r="P28" s="10" t="str">
        <f t="shared" si="0"/>
        <v>ENREGISTREMENT SUR PART 125</v>
      </c>
    </row>
    <row r="29" spans="1:16" x14ac:dyDescent="0.3">
      <c r="A29" s="5">
        <v>4993</v>
      </c>
      <c r="B29" s="5">
        <v>30</v>
      </c>
      <c r="C29" s="16">
        <v>8286</v>
      </c>
      <c r="D29" s="10" t="s">
        <v>141</v>
      </c>
      <c r="E29" s="10" t="s">
        <v>53</v>
      </c>
      <c r="F29" s="10" t="s">
        <v>44</v>
      </c>
      <c r="G29" s="5" t="str">
        <f>IFERROR(INDEX(code!$B$10:$B$13, MATCH(CENTRE_TEST!$E$28, code!$A$10:$A$13, 0)), "")</f>
        <v>ARRIVEE</v>
      </c>
      <c r="H29" s="5" t="s">
        <v>19</v>
      </c>
      <c r="I29" s="5" t="str">
        <f>CENTRE_TEST!$I$29</f>
        <v>GLOBAL</v>
      </c>
      <c r="J29" s="5" t="str">
        <f>UPPER(TRIM(SUBSTITUTE(G29," ",""))) &amp; "|" &amp;
 UPPER(TRIM(SUBSTITUTE(H29," ",""))) &amp; "|" &amp;
 UPPER(TRIM(SUBSTITUTE(I29," ","")))</f>
        <v>ARRIVEE|AMANA|GLOBAL</v>
      </c>
      <c r="K29" s="19">
        <f>IFERROR(SUMIFS(INPUT_VOLUMES!$D:$D,INPUT_VOLUMES!$A:$A,$G29,INPUT_VOLUMES!$B:$B,$H29,INPUT_VOLUMES!$C:$C,$I29),0)</f>
        <v>50000</v>
      </c>
      <c r="L29" s="19">
        <f>K29/PARAMS!$B$2</f>
        <v>189.39393939393941</v>
      </c>
      <c r="M29" s="19">
        <f>IF(F29="Sac",
   L29 / PARAMS!$B$6,
   L29
)</f>
        <v>189.39393939393941</v>
      </c>
      <c r="N29" s="19">
        <f>IFERROR(INDEX(CENTRE_TEST!$L:$L,MATCH(P29,CENTRE_TEST!$M:$M,0)),0)</f>
        <v>0.24666666666666701</v>
      </c>
      <c r="O29" s="19">
        <f>IFERROR(
   M29 * (N29/60) * (PARAMS!$B$5 / 100),
0)</f>
        <v>0.77861952861952965</v>
      </c>
      <c r="P29" s="10" t="str">
        <f t="shared" si="0"/>
        <v>AFFECTATION GUICHET</v>
      </c>
    </row>
    <row r="30" spans="1:16" x14ac:dyDescent="0.3">
      <c r="A30" s="5">
        <v>4994</v>
      </c>
      <c r="B30" s="5">
        <v>31</v>
      </c>
      <c r="C30" s="16">
        <v>8286</v>
      </c>
      <c r="D30" s="10" t="s">
        <v>141</v>
      </c>
      <c r="E30" s="10" t="s">
        <v>54</v>
      </c>
      <c r="F30" s="10" t="s">
        <v>44</v>
      </c>
      <c r="G30" s="5" t="str">
        <f>IFERROR(INDEX(code!$B$10:$B$13, MATCH(CENTRE_TEST!$E$28, code!$A$10:$A$13, 0)), "")</f>
        <v>ARRIVEE</v>
      </c>
      <c r="H30" s="5" t="s">
        <v>19</v>
      </c>
      <c r="I30" s="5" t="str">
        <f>CENTRE_TEST!$I$30</f>
        <v>GLOBAL</v>
      </c>
      <c r="J30" s="5" t="str">
        <f>UPPER(TRIM(SUBSTITUTE(G30," ",""))) &amp; "|" &amp;
 UPPER(TRIM(SUBSTITUTE(H30," ",""))) &amp; "|" &amp;
 UPPER(TRIM(SUBSTITUTE(I30," ","")))</f>
        <v>ARRIVEE|AMANA|GLOBAL</v>
      </c>
      <c r="K30" s="19">
        <f>IFERROR(SUMIFS(INPUT_VOLUMES!$D:$D,INPUT_VOLUMES!$A:$A,$G30,INPUT_VOLUMES!$B:$B,$H30,INPUT_VOLUMES!$C:$C,$I30),0)</f>
        <v>50000</v>
      </c>
      <c r="L30" s="19">
        <f>K30/PARAMS!$B$2</f>
        <v>189.39393939393941</v>
      </c>
      <c r="M30" s="19">
        <f>IF(F30="Sac",
   L30 / PARAMS!$B$6,
   L30
)</f>
        <v>189.39393939393941</v>
      </c>
      <c r="N30" s="19">
        <f>IFERROR(INDEX(CENTRE_TEST!$L:$L,MATCH(P30,CENTRE_TEST!$M:$M,0)),0)</f>
        <v>0.02</v>
      </c>
      <c r="O30" s="19">
        <f>IFERROR(
   M30 * (N30/60) * (PARAMS!$B$5 / 100),
0)</f>
        <v>6.3131313131313135E-2</v>
      </c>
      <c r="P30" s="10" t="str">
        <f>UPPER(TRIM(SUBSTITUTE(SUBSTITUTE(E30,CHAR(10)," "),CHAR(13)," ")))</f>
        <v>REMISE AVISÉS AU GUICHET</v>
      </c>
    </row>
    <row r="31" spans="1:16" x14ac:dyDescent="0.3">
      <c r="A31" s="5">
        <v>4995</v>
      </c>
      <c r="B31" s="5">
        <v>32</v>
      </c>
      <c r="C31" s="16">
        <v>8286</v>
      </c>
      <c r="D31" s="10" t="s">
        <v>141</v>
      </c>
      <c r="E31" s="10" t="s">
        <v>55</v>
      </c>
      <c r="F31" s="10" t="s">
        <v>44</v>
      </c>
      <c r="G31" s="5" t="str">
        <f>IFERROR(INDEX(code!$B$10:$B$13, MATCH(CENTRE_TEST!$E$28, code!$A$10:$A$13, 0)), "")</f>
        <v>ARRIVEE</v>
      </c>
      <c r="H31" s="5" t="s">
        <v>19</v>
      </c>
      <c r="I31" s="5" t="str">
        <f>CENTRE_TEST!$I$31</f>
        <v>GLOBAL</v>
      </c>
      <c r="J31" s="5" t="str">
        <f>UPPER(TRIM(SUBSTITUTE(G31," ",""))) &amp; "|" &amp;
 UPPER(TRIM(SUBSTITUTE(H31," ",""))) &amp; "|" &amp;
 UPPER(TRIM(SUBSTITUTE(I31," ","")))</f>
        <v>ARRIVEE|AMANA|GLOBAL</v>
      </c>
      <c r="K31" s="19">
        <f>IFERROR(SUMIFS(INPUT_VOLUMES!$D:$D,INPUT_VOLUMES!$A:$A,$G31,INPUT_VOLUMES!$B:$B,$H31,INPUT_VOLUMES!$C:$C,$I31),0)</f>
        <v>50000</v>
      </c>
      <c r="L31" s="19">
        <f>K31/PARAMS!$B$2</f>
        <v>189.39393939393941</v>
      </c>
      <c r="M31" s="19">
        <f>IF(F31="Sac",
   L31 / PARAMS!$B$6,
   L31
)</f>
        <v>189.39393939393941</v>
      </c>
      <c r="N31" s="19">
        <f>IFERROR(INDEX(CENTRE_TEST!$L:$L,MATCH(P31,CENTRE_TEST!$M:$M,0)),0)</f>
        <v>0.4</v>
      </c>
      <c r="O31" s="19">
        <f>IFERROR(
   M31 * (N31/60) * (PARAMS!$B$5 / 100),
0)</f>
        <v>1.2626262626262628</v>
      </c>
      <c r="P31" s="10" t="str">
        <f t="shared" si="0"/>
        <v>PRÉPARATIN FICHIER EXCEL</v>
      </c>
    </row>
    <row r="32" spans="1:16" x14ac:dyDescent="0.3">
      <c r="A32" s="5">
        <v>4996</v>
      </c>
      <c r="B32" s="5">
        <v>33</v>
      </c>
      <c r="C32" s="16">
        <v>8286</v>
      </c>
      <c r="D32" s="10" t="s">
        <v>141</v>
      </c>
      <c r="E32" s="10" t="s">
        <v>56</v>
      </c>
      <c r="F32" s="10" t="s">
        <v>44</v>
      </c>
      <c r="G32" s="5" t="str">
        <f>IFERROR(INDEX(code!$B$10:$B$13, MATCH(CENTRE_TEST!$E$28, code!$A$10:$A$13, 0)), "")</f>
        <v>ARRIVEE</v>
      </c>
      <c r="H32" s="5" t="s">
        <v>19</v>
      </c>
      <c r="I32" s="5" t="str">
        <f>CENTRE_TEST!$I$32</f>
        <v>GLOBAL</v>
      </c>
      <c r="J32" s="5" t="str">
        <f>UPPER(TRIM(SUBSTITUTE(G32," ",""))) &amp; "|" &amp;
 UPPER(TRIM(SUBSTITUTE(H32," ",""))) &amp; "|" &amp;
 UPPER(TRIM(SUBSTITUTE(I32," ","")))</f>
        <v>ARRIVEE|AMANA|GLOBAL</v>
      </c>
      <c r="K32" s="19">
        <f>IFERROR(SUMIFS(INPUT_VOLUMES!$D:$D,INPUT_VOLUMES!$A:$A,$G32,INPUT_VOLUMES!$B:$B,$H32,INPUT_VOLUMES!$C:$C,$I32),0)</f>
        <v>50000</v>
      </c>
      <c r="L32" s="19">
        <f>K32/PARAMS!$B$2</f>
        <v>189.39393939393941</v>
      </c>
      <c r="M32" s="19">
        <f>IF(F32="Sac",
   L32 / PARAMS!$B$6,
   L32
)</f>
        <v>189.39393939393941</v>
      </c>
      <c r="N32" s="19">
        <f>IFERROR(INDEX(CENTRE_TEST!$L:$L,MATCH(P32,CENTRE_TEST!$M:$M,0)),0)</f>
        <v>5.0000000000000001E-3</v>
      </c>
      <c r="O32" s="19">
        <f>IFERROR(
   M32 * (N32/60) * (PARAMS!$B$5 / 100),
0)</f>
        <v>1.5782828282828284E-2</v>
      </c>
      <c r="P32" s="10" t="str">
        <f t="shared" si="0"/>
        <v>SCAN ET ÉDITION DNL</v>
      </c>
    </row>
    <row r="33" spans="1:16" x14ac:dyDescent="0.3">
      <c r="A33" s="5">
        <v>4997</v>
      </c>
      <c r="B33" s="5">
        <v>34</v>
      </c>
      <c r="C33" s="16">
        <v>8286</v>
      </c>
      <c r="D33" s="10" t="s">
        <v>141</v>
      </c>
      <c r="E33" s="10" t="s">
        <v>59</v>
      </c>
      <c r="F33" s="10" t="s">
        <v>44</v>
      </c>
      <c r="G33" s="5" t="str">
        <f>IFERROR(INDEX(code!$B$10:$B$13, MATCH(CENTRE_TEST!$E$28, code!$A$10:$A$13, 0)), "")</f>
        <v>ARRIVEE</v>
      </c>
      <c r="H33" s="5" t="s">
        <v>19</v>
      </c>
      <c r="I33" s="5" t="str">
        <f>CENTRE_TEST!$I$33</f>
        <v>GLOBAL</v>
      </c>
      <c r="J33" s="5" t="str">
        <f>UPPER(TRIM(SUBSTITUTE(G33," ",""))) &amp; "|" &amp;
 UPPER(TRIM(SUBSTITUTE(H33," ",""))) &amp; "|" &amp;
 UPPER(TRIM(SUBSTITUTE(I33," ","")))</f>
        <v>ARRIVEE|AMANA|GLOBAL</v>
      </c>
      <c r="K33" s="19">
        <f>IFERROR(SUMIFS(INPUT_VOLUMES!$D:$D,INPUT_VOLUMES!$A:$A,$G33,INPUT_VOLUMES!$B:$B,$H33,INPUT_VOLUMES!$C:$C,$I33),0)</f>
        <v>50000</v>
      </c>
      <c r="L33" s="19">
        <f>K33/PARAMS!$B$2</f>
        <v>189.39393939393941</v>
      </c>
      <c r="M33" s="19">
        <f>IF(F33="Sac",
   L33 / PARAMS!$B$6,
   L33
)</f>
        <v>189.39393939393941</v>
      </c>
      <c r="N33" s="19">
        <f>IFERROR(INDEX(CENTRE_TEST!$L:$L,MATCH(P33,CENTRE_TEST!$M:$M,0)),0)</f>
        <v>0.01</v>
      </c>
      <c r="O33" s="19">
        <f>IFERROR(
   M33 * (N33/60) * (PARAMS!$B$5 / 100),
0)</f>
        <v>3.1565656565656568E-2</v>
      </c>
      <c r="P33" s="10" t="str">
        <f t="shared" si="0"/>
        <v>ETAT LEVÉE</v>
      </c>
    </row>
    <row r="34" spans="1:16" x14ac:dyDescent="0.3">
      <c r="A34" s="5">
        <v>4998</v>
      </c>
      <c r="B34" s="5">
        <v>35</v>
      </c>
      <c r="C34" s="16">
        <v>8286</v>
      </c>
      <c r="D34" s="10" t="s">
        <v>141</v>
      </c>
      <c r="E34" s="10" t="s">
        <v>60</v>
      </c>
      <c r="F34" s="10" t="s">
        <v>44</v>
      </c>
      <c r="G34" s="5" t="str">
        <f>IFERROR(INDEX(code!$B$10:$B$13, MATCH(CENTRE_TEST!$E$28, code!$A$10:$A$13, 0)), "")</f>
        <v>ARRIVEE</v>
      </c>
      <c r="H34" s="5" t="s">
        <v>19</v>
      </c>
      <c r="I34" s="5" t="str">
        <f>CENTRE_TEST!$I$34</f>
        <v>GLOBAL</v>
      </c>
      <c r="J34" s="5" t="str">
        <f>UPPER(TRIM(SUBSTITUTE(G34," ",""))) &amp; "|" &amp;
 UPPER(TRIM(SUBSTITUTE(H34," ",""))) &amp; "|" &amp;
 UPPER(TRIM(SUBSTITUTE(I34," ","")))</f>
        <v>ARRIVEE|AMANA|GLOBAL</v>
      </c>
      <c r="K34" s="19">
        <f>IFERROR(SUMIFS(INPUT_VOLUMES!$D:$D,INPUT_VOLUMES!$A:$A,$G34,INPUT_VOLUMES!$B:$B,$H34,INPUT_VOLUMES!$C:$C,$I34),0)</f>
        <v>50000</v>
      </c>
      <c r="L34" s="19">
        <f>K34/PARAMS!$B$2</f>
        <v>189.39393939393941</v>
      </c>
      <c r="M34" s="19">
        <f>IF(F34="Sac",
   L34 / PARAMS!$B$6,
   L34
)</f>
        <v>189.39393939393941</v>
      </c>
      <c r="N34" s="19">
        <f>IFERROR(INDEX(CENTRE_TEST!$L:$L,MATCH(P34,CENTRE_TEST!$M:$M,0)),0)</f>
        <v>0.35666666666666702</v>
      </c>
      <c r="O34" s="19">
        <f>IFERROR(
   M34 * (N34/60) * (PARAMS!$B$5 / 100),
0)</f>
        <v>1.125841750841752</v>
      </c>
      <c r="P34" s="10" t="str">
        <f t="shared" si="0"/>
        <v>RÉCUPÉRATION PHYSIQUE COLIS</v>
      </c>
    </row>
    <row r="35" spans="1:16" x14ac:dyDescent="0.3">
      <c r="A35" s="5">
        <v>4999</v>
      </c>
      <c r="B35" s="5">
        <v>36</v>
      </c>
      <c r="C35" s="16">
        <v>8286</v>
      </c>
      <c r="D35" s="10" t="s">
        <v>141</v>
      </c>
      <c r="E35" s="10" t="s">
        <v>61</v>
      </c>
      <c r="F35" s="10" t="s">
        <v>44</v>
      </c>
      <c r="G35" s="5" t="str">
        <f>IFERROR(INDEX(code!$B$10:$B$13, MATCH(CENTRE_TEST!$E$28, code!$A$10:$A$13, 0)), "")</f>
        <v>ARRIVEE</v>
      </c>
      <c r="H35" s="5" t="s">
        <v>19</v>
      </c>
      <c r="I35" s="5" t="str">
        <f>CENTRE_TEST!$I$35</f>
        <v>GLOBAL</v>
      </c>
      <c r="J35" s="5" t="str">
        <f>UPPER(TRIM(SUBSTITUTE(G35," ",""))) &amp; "|" &amp;
 UPPER(TRIM(SUBSTITUTE(H35," ",""))) &amp; "|" &amp;
 UPPER(TRIM(SUBSTITUTE(I35," ","")))</f>
        <v>ARRIVEE|AMANA|GLOBAL</v>
      </c>
      <c r="K35" s="19">
        <f>IFERROR(SUMIFS(INPUT_VOLUMES!$D:$D,INPUT_VOLUMES!$A:$A,$G35,INPUT_VOLUMES!$B:$B,$H35,INPUT_VOLUMES!$C:$C,$I35),0)</f>
        <v>50000</v>
      </c>
      <c r="L35" s="19">
        <f>K35/PARAMS!$B$2</f>
        <v>189.39393939393941</v>
      </c>
      <c r="M35" s="19">
        <f>IF(F35="Sac",
   L35 / PARAMS!$B$6,
   L35
)</f>
        <v>189.39393939393941</v>
      </c>
      <c r="N35" s="19" t="str">
        <f>IFERROR(INDEX(CENTRE_TEST!$L:$L,MATCH(P35,CENTRE_TEST!$M:$M,0)),0)</f>
        <v>NULL</v>
      </c>
      <c r="O35" s="19">
        <f>IFERROR(
   M35 * (N35/60) * (PARAMS!$B$5 / 100),
0)</f>
        <v>0</v>
      </c>
      <c r="P35" s="10" t="str">
        <f t="shared" si="0"/>
        <v>PASSATION VS GUICHET</v>
      </c>
    </row>
    <row r="36" spans="1:16" x14ac:dyDescent="0.3">
      <c r="A36" s="5">
        <v>5000</v>
      </c>
      <c r="B36" s="5">
        <v>37</v>
      </c>
      <c r="C36" s="16">
        <v>8286</v>
      </c>
      <c r="D36" s="10" t="s">
        <v>141</v>
      </c>
      <c r="E36" s="10" t="s">
        <v>63</v>
      </c>
      <c r="F36" s="10" t="s">
        <v>44</v>
      </c>
      <c r="G36" s="5" t="str">
        <f>IFERROR(INDEX(code!$B$10:$B$13, MATCH(CENTRE_TEST!$E$28, code!$A$10:$A$13, 0)), "")</f>
        <v>ARRIVEE</v>
      </c>
      <c r="H36" s="5" t="s">
        <v>19</v>
      </c>
      <c r="I36" s="5" t="str">
        <f>CENTRE_TEST!$I$36</f>
        <v>GLOBAL</v>
      </c>
      <c r="J36" s="5" t="str">
        <f>UPPER(TRIM(SUBSTITUTE(G36," ",""))) &amp; "|" &amp;
 UPPER(TRIM(SUBSTITUTE(H36," ",""))) &amp; "|" &amp;
 UPPER(TRIM(SUBSTITUTE(I36," ","")))</f>
        <v>ARRIVEE|AMANA|GLOBAL</v>
      </c>
      <c r="K36" s="19">
        <f>IFERROR(SUMIFS(INPUT_VOLUMES!$D:$D,INPUT_VOLUMES!$A:$A,$G36,INPUT_VOLUMES!$B:$B,$H36,INPUT_VOLUMES!$C:$C,$I36),0)</f>
        <v>50000</v>
      </c>
      <c r="L36" s="19">
        <f>K36/PARAMS!$B$2</f>
        <v>189.39393939393941</v>
      </c>
      <c r="M36" s="19">
        <f>IF(F36="Sac",
   L36 / PARAMS!$B$6,
   L36
)</f>
        <v>189.39393939393941</v>
      </c>
      <c r="N36" s="19">
        <f>IFERROR(INDEX(CENTRE_TEST!$L:$L,MATCH(P36,CENTRE_TEST!$M:$M,0)),0)</f>
        <v>0.16</v>
      </c>
      <c r="O36" s="19">
        <f>IFERROR(
   M36 * (N36/60) * (PARAMS!$B$5 / 100),
0)</f>
        <v>0.50505050505050508</v>
      </c>
      <c r="P36" s="10" t="str">
        <f t="shared" si="0"/>
        <v>RÉCEPTION</v>
      </c>
    </row>
    <row r="37" spans="1:16" x14ac:dyDescent="0.3">
      <c r="A37" s="5">
        <v>5001</v>
      </c>
      <c r="B37" s="5">
        <v>38</v>
      </c>
      <c r="C37" s="16">
        <v>8286</v>
      </c>
      <c r="D37" s="10" t="s">
        <v>141</v>
      </c>
      <c r="E37" s="10" t="s">
        <v>64</v>
      </c>
      <c r="F37" s="10" t="s">
        <v>44</v>
      </c>
      <c r="G37" s="5" t="str">
        <f>IFERROR(INDEX(code!$B$10:$B$13, MATCH(CENTRE_TEST!$E$28, code!$A$10:$A$13, 0)), "")</f>
        <v>ARRIVEE</v>
      </c>
      <c r="H37" s="5" t="s">
        <v>19</v>
      </c>
      <c r="I37" s="5" t="str">
        <f>CENTRE_TEST!$I$37</f>
        <v>GLOBAL</v>
      </c>
      <c r="J37" s="5" t="str">
        <f>UPPER(TRIM(SUBSTITUTE(G37," ",""))) &amp; "|" &amp;
 UPPER(TRIM(SUBSTITUTE(H37," ",""))) &amp; "|" &amp;
 UPPER(TRIM(SUBSTITUTE(I37," ","")))</f>
        <v>ARRIVEE|AMANA|GLOBAL</v>
      </c>
      <c r="K37" s="19">
        <f>IFERROR(SUMIFS(INPUT_VOLUMES!$D:$D,INPUT_VOLUMES!$A:$A,$G37,INPUT_VOLUMES!$B:$B,$H37,INPUT_VOLUMES!$C:$C,$I37),0)</f>
        <v>50000</v>
      </c>
      <c r="L37" s="19">
        <f>K37/PARAMS!$B$2</f>
        <v>189.39393939393941</v>
      </c>
      <c r="M37" s="19">
        <f>IF(F37="Sac",
   L37 / PARAMS!$B$6,
   L37
)</f>
        <v>189.39393939393941</v>
      </c>
      <c r="N37" s="19" t="str">
        <f>IFERROR(INDEX(CENTRE_TEST!$L:$L,MATCH(P37,CENTRE_TEST!$M:$M,0)),0)</f>
        <v>NULL</v>
      </c>
      <c r="O37" s="19">
        <f>IFERROR(
   M37 * (N37/60) * (PARAMS!$B$5 / 100),
0)</f>
        <v>0</v>
      </c>
      <c r="P37" s="10" t="str">
        <f t="shared" si="0"/>
        <v>NUMÉROTAGE</v>
      </c>
    </row>
    <row r="38" spans="1:16" x14ac:dyDescent="0.3">
      <c r="A38" s="5">
        <v>5002</v>
      </c>
      <c r="B38" s="5">
        <v>39</v>
      </c>
      <c r="C38" s="16">
        <v>8286</v>
      </c>
      <c r="D38" s="10" t="s">
        <v>141</v>
      </c>
      <c r="E38" s="10" t="s">
        <v>65</v>
      </c>
      <c r="F38" s="10" t="s">
        <v>44</v>
      </c>
      <c r="G38" s="5" t="str">
        <f>IFERROR(INDEX(code!$B$10:$B$13, MATCH(CENTRE_TEST!$E$28, code!$A$10:$A$13, 0)), "")</f>
        <v>ARRIVEE</v>
      </c>
      <c r="H38" s="5" t="s">
        <v>19</v>
      </c>
      <c r="I38" s="5" t="str">
        <f>CENTRE_TEST!$I$38</f>
        <v>GLOBAL</v>
      </c>
      <c r="J38" s="5" t="str">
        <f>UPPER(TRIM(SUBSTITUTE(G38," ",""))) &amp; "|" &amp;
 UPPER(TRIM(SUBSTITUTE(H38," ",""))) &amp; "|" &amp;
 UPPER(TRIM(SUBSTITUTE(I38," ","")))</f>
        <v>ARRIVEE|AMANA|GLOBAL</v>
      </c>
      <c r="K38" s="19">
        <f>IFERROR(SUMIFS(INPUT_VOLUMES!$D:$D,INPUT_VOLUMES!$A:$A,$G38,INPUT_VOLUMES!$B:$B,$H38,INPUT_VOLUMES!$C:$C,$I38),0)</f>
        <v>50000</v>
      </c>
      <c r="L38" s="19">
        <f>K38/PARAMS!$B$2</f>
        <v>189.39393939393941</v>
      </c>
      <c r="M38" s="19">
        <f>IF(F38="Sac",
   L38 / PARAMS!$B$6,
   L38
)</f>
        <v>189.39393939393941</v>
      </c>
      <c r="N38" s="19">
        <f>IFERROR(INDEX(CENTRE_TEST!$L:$L,MATCH(P38,CENTRE_TEST!$M:$M,0)),0)</f>
        <v>0.198333333333333</v>
      </c>
      <c r="O38" s="19">
        <f>IFERROR(
   M38 * (N38/60) * (PARAMS!$B$5 / 100),
0)</f>
        <v>0.62605218855218747</v>
      </c>
      <c r="P38" s="10" t="str">
        <f t="shared" si="0"/>
        <v>MISE EN SAC</v>
      </c>
    </row>
    <row r="39" spans="1:16" x14ac:dyDescent="0.3">
      <c r="A39" s="5">
        <v>5003</v>
      </c>
      <c r="B39" s="5">
        <v>40</v>
      </c>
      <c r="C39" s="16">
        <v>8286</v>
      </c>
      <c r="D39" s="10" t="s">
        <v>141</v>
      </c>
      <c r="E39" s="10" t="s">
        <v>66</v>
      </c>
      <c r="F39" s="10" t="s">
        <v>44</v>
      </c>
      <c r="G39" s="5" t="str">
        <f>IFERROR(INDEX(code!$B$10:$B$13, MATCH(CENTRE_TEST!$E$28, code!$A$10:$A$13, 0)), "")</f>
        <v>ARRIVEE</v>
      </c>
      <c r="H39" s="5" t="s">
        <v>19</v>
      </c>
      <c r="I39" s="5" t="str">
        <f>CENTRE_TEST!$I$39</f>
        <v>GLOBAL</v>
      </c>
      <c r="J39" s="5" t="str">
        <f>UPPER(TRIM(SUBSTITUTE(G39," ",""))) &amp; "|" &amp;
 UPPER(TRIM(SUBSTITUTE(H39," ",""))) &amp; "|" &amp;
 UPPER(TRIM(SUBSTITUTE(I39," ","")))</f>
        <v>ARRIVEE|AMANA|GLOBAL</v>
      </c>
      <c r="K39" s="19">
        <f>IFERROR(SUMIFS(INPUT_VOLUMES!$D:$D,INPUT_VOLUMES!$A:$A,$G39,INPUT_VOLUMES!$B:$B,$H39,INPUT_VOLUMES!$C:$C,$I39),0)</f>
        <v>50000</v>
      </c>
      <c r="L39" s="19">
        <f>K39/PARAMS!$B$2</f>
        <v>189.39393939393941</v>
      </c>
      <c r="M39" s="19">
        <f>IF(F39="Sac",
   L39 / PARAMS!$B$6,
   L39
)</f>
        <v>189.39393939393941</v>
      </c>
      <c r="N39" s="19">
        <f>IFERROR(INDEX(CENTRE_TEST!$L:$L,MATCH(P39,CENTRE_TEST!$M:$M,0)),0)</f>
        <v>0.20499999999999999</v>
      </c>
      <c r="O39" s="19">
        <f>IFERROR(
   M39 * (N39/60) * (PARAMS!$B$5 / 100),
0)</f>
        <v>0.64709595959595956</v>
      </c>
      <c r="P39" s="10" t="str">
        <f>UPPER(TRIM(SUBSTITUTE(SUBSTITUTE(E39,CHAR(10)," "),CHAR(13)," ")))</f>
        <v>EXPÉDITION</v>
      </c>
    </row>
    <row r="40" spans="1:16" x14ac:dyDescent="0.3">
      <c r="A40" s="5">
        <v>5004</v>
      </c>
      <c r="B40" s="5">
        <v>41</v>
      </c>
      <c r="C40" s="16">
        <v>8286</v>
      </c>
      <c r="D40" s="10" t="s">
        <v>141</v>
      </c>
      <c r="E40" s="10" t="s">
        <v>67</v>
      </c>
      <c r="F40" s="10" t="s">
        <v>44</v>
      </c>
      <c r="G40" s="5" t="str">
        <f>IFERROR(INDEX(code!$B$10:$B$13, MATCH(CENTRE_TEST!$E$28, code!$A$10:$A$13, 0)), "")</f>
        <v>ARRIVEE</v>
      </c>
      <c r="H40" s="5" t="s">
        <v>19</v>
      </c>
      <c r="I40" s="5" t="str">
        <f>CENTRE_TEST!$I$40</f>
        <v>GLOBAL</v>
      </c>
      <c r="J40" s="5" t="str">
        <f>UPPER(TRIM(SUBSTITUTE(G40," ",""))) &amp; "|" &amp;
 UPPER(TRIM(SUBSTITUTE(H40," ",""))) &amp; "|" &amp;
 UPPER(TRIM(SUBSTITUTE(I40," ","")))</f>
        <v>ARRIVEE|AMANA|GLOBAL</v>
      </c>
      <c r="K40" s="19">
        <f>IFERROR(SUMIFS(INPUT_VOLUMES!$D:$D,INPUT_VOLUMES!$A:$A,$G40,INPUT_VOLUMES!$B:$B,$H40,INPUT_VOLUMES!$C:$C,$I40),0)</f>
        <v>50000</v>
      </c>
      <c r="L40" s="19">
        <f>K40/PARAMS!$B$2</f>
        <v>189.39393939393941</v>
      </c>
      <c r="M40" s="19">
        <f>IF(F40="Sac",
   L40 / PARAMS!$B$6,
   L40
)</f>
        <v>189.39393939393941</v>
      </c>
      <c r="N40" s="19">
        <f>IFERROR(INDEX(CENTRE_TEST!$L:$L,MATCH(P40,CENTRE_TEST!$M:$M,0)),0)</f>
        <v>0.21666666666666701</v>
      </c>
      <c r="O40" s="19">
        <f>IFERROR(
   M40 * (N40/60) * (PARAMS!$B$5 / 100),
0)</f>
        <v>0.68392255892256004</v>
      </c>
      <c r="P40" s="10" t="str">
        <f t="shared" si="0"/>
        <v>CLASSEMENT EN CABINE INSTANCE</v>
      </c>
    </row>
    <row r="41" spans="1:16" x14ac:dyDescent="0.3">
      <c r="A41" s="5">
        <v>5005</v>
      </c>
      <c r="B41" s="5">
        <v>42</v>
      </c>
      <c r="C41" s="16">
        <v>8286</v>
      </c>
      <c r="D41" s="10" t="s">
        <v>141</v>
      </c>
      <c r="E41" s="10" t="s">
        <v>68</v>
      </c>
      <c r="F41" s="10" t="s">
        <v>44</v>
      </c>
      <c r="G41" s="5" t="str">
        <f>IFERROR(INDEX(code!$B$10:$B$13, MATCH(CENTRE_TEST!$E$28, code!$A$10:$A$13, 0)), "")</f>
        <v>ARRIVEE</v>
      </c>
      <c r="H41" s="5" t="s">
        <v>19</v>
      </c>
      <c r="I41" s="5" t="str">
        <f>CENTRE_TEST!$I$41</f>
        <v>GLOBAL</v>
      </c>
      <c r="J41" s="5" t="str">
        <f>UPPER(TRIM(SUBSTITUTE(G41," ",""))) &amp; "|" &amp;
 UPPER(TRIM(SUBSTITUTE(H41," ",""))) &amp; "|" &amp;
 UPPER(TRIM(SUBSTITUTE(I41," ","")))</f>
        <v>ARRIVEE|AMANA|GLOBAL</v>
      </c>
      <c r="K41" s="19">
        <f>IFERROR(SUMIFS(INPUT_VOLUMES!$D:$D,INPUT_VOLUMES!$A:$A,$G41,INPUT_VOLUMES!$B:$B,$H41,INPUT_VOLUMES!$C:$C,$I41),0)</f>
        <v>50000</v>
      </c>
      <c r="L41" s="19">
        <f>K41/PARAMS!$B$2</f>
        <v>189.39393939393941</v>
      </c>
      <c r="M41" s="19">
        <f>IF(F41="Sac",
   L41 / PARAMS!$B$6,
   L41
)</f>
        <v>189.39393939393941</v>
      </c>
      <c r="N41" s="19">
        <f>IFERROR(INDEX(CENTRE_TEST!$L:$L,MATCH(P41,CENTRE_TEST!$M:$M,0)),0)</f>
        <v>0.4</v>
      </c>
      <c r="O41" s="19">
        <f>IFERROR(
   M41 * (N41/60) * (PARAMS!$B$5 / 100),
0)</f>
        <v>1.2626262626262628</v>
      </c>
      <c r="P41" s="10" t="str">
        <f t="shared" si="0"/>
        <v>CONTRÔLE PHYSIQUE</v>
      </c>
    </row>
    <row r="42" spans="1:16" x14ac:dyDescent="0.3">
      <c r="A42" s="5">
        <v>5006</v>
      </c>
      <c r="B42" s="5">
        <v>43</v>
      </c>
      <c r="C42" s="16">
        <v>8286</v>
      </c>
      <c r="D42" s="10" t="s">
        <v>141</v>
      </c>
      <c r="E42" s="10" t="s">
        <v>69</v>
      </c>
      <c r="F42" s="10" t="s">
        <v>44</v>
      </c>
      <c r="G42" s="5" t="str">
        <f>IFERROR(INDEX(code!$B$10:$B$13, MATCH(CENTRE_TEST!$E$28, code!$A$10:$A$13, 0)), "")</f>
        <v>ARRIVEE</v>
      </c>
      <c r="H42" s="5" t="s">
        <v>19</v>
      </c>
      <c r="I42" s="5" t="str">
        <f>CENTRE_TEST!$I$42</f>
        <v>GLOBAL</v>
      </c>
      <c r="J42" s="5" t="str">
        <f>UPPER(TRIM(SUBSTITUTE(G42," ",""))) &amp; "|" &amp;
 UPPER(TRIM(SUBSTITUTE(H42," ",""))) &amp; "|" &amp;
 UPPER(TRIM(SUBSTITUTE(I42," ","")))</f>
        <v>ARRIVEE|AMANA|GLOBAL</v>
      </c>
      <c r="K42" s="19">
        <f>IFERROR(SUMIFS(INPUT_VOLUMES!$D:$D,INPUT_VOLUMES!$A:$A,$G42,INPUT_VOLUMES!$B:$B,$H42,INPUT_VOLUMES!$C:$C,$I42),0)</f>
        <v>50000</v>
      </c>
      <c r="L42" s="19">
        <f>K42/PARAMS!$B$2</f>
        <v>189.39393939393941</v>
      </c>
      <c r="M42" s="19">
        <f>IF(F42="Sac",
   L42 / PARAMS!$B$6,
   L42
)</f>
        <v>189.39393939393941</v>
      </c>
      <c r="N42" s="19">
        <f>IFERROR(INDEX(CENTRE_TEST!$L:$L,MATCH(P42,CENTRE_TEST!$M:$M,0)),0)</f>
        <v>0.176666666666667</v>
      </c>
      <c r="O42" s="19">
        <f>IFERROR(
   M42 * (N42/60) * (PARAMS!$B$5 / 100),
0)</f>
        <v>0.55765993265993374</v>
      </c>
      <c r="P42" s="10" t="str">
        <f t="shared" si="0"/>
        <v>CRÉATION DÉPECHE</v>
      </c>
    </row>
    <row r="43" spans="1:16" x14ac:dyDescent="0.3">
      <c r="A43" s="5">
        <v>5007</v>
      </c>
      <c r="B43" s="5">
        <v>45</v>
      </c>
      <c r="C43" s="16">
        <v>8286</v>
      </c>
      <c r="D43" s="10" t="s">
        <v>141</v>
      </c>
      <c r="E43" s="10" t="s">
        <v>70</v>
      </c>
      <c r="F43" s="10" t="s">
        <v>44</v>
      </c>
      <c r="G43" s="5" t="str">
        <f>IFERROR(INDEX(code!$B$10:$B$13, MATCH(CENTRE_TEST!$E$28, code!$A$10:$A$13, 0)), "")</f>
        <v>ARRIVEE</v>
      </c>
      <c r="H43" s="5" t="s">
        <v>19</v>
      </c>
      <c r="I43" s="5" t="str">
        <f>CENTRE_TEST!$I$43</f>
        <v>GLOBAL</v>
      </c>
      <c r="J43" s="5" t="str">
        <f>UPPER(TRIM(SUBSTITUTE(G43," ",""))) &amp; "|" &amp;
 UPPER(TRIM(SUBSTITUTE(H43," ",""))) &amp; "|" &amp;
 UPPER(TRIM(SUBSTITUTE(I43," ","")))</f>
        <v>ARRIVEE|AMANA|GLOBAL</v>
      </c>
      <c r="K43" s="19">
        <f>IFERROR(SUMIFS(INPUT_VOLUMES!$D:$D,INPUT_VOLUMES!$A:$A,$G43,INPUT_VOLUMES!$B:$B,$H43,INPUT_VOLUMES!$C:$C,$I43),0)</f>
        <v>50000</v>
      </c>
      <c r="L43" s="19">
        <f>K43/PARAMS!$B$2</f>
        <v>189.39393939393941</v>
      </c>
      <c r="M43" s="19">
        <f>IF(F43="Sac",
   L43 / PARAMS!$B$6,
   L43
)</f>
        <v>189.39393939393941</v>
      </c>
      <c r="N43" s="19">
        <f>IFERROR(INDEX(CENTRE_TEST!$L:$L,MATCH(P43,CENTRE_TEST!$M:$M,0)),0)</f>
        <v>0.19</v>
      </c>
      <c r="O43" s="19">
        <f>IFERROR(
   M43 * (N43/60) * (PARAMS!$B$5 / 100),
0)</f>
        <v>0.59974747474747481</v>
      </c>
      <c r="P43" s="10" t="str">
        <f t="shared" si="0"/>
        <v>EDITION PART</v>
      </c>
    </row>
    <row r="44" spans="1:16" x14ac:dyDescent="0.3">
      <c r="A44" s="5">
        <v>5008</v>
      </c>
      <c r="B44" s="5">
        <v>46</v>
      </c>
      <c r="C44" s="16">
        <v>8286</v>
      </c>
      <c r="D44" s="10" t="s">
        <v>141</v>
      </c>
      <c r="E44" s="10" t="s">
        <v>71</v>
      </c>
      <c r="F44" s="10" t="s">
        <v>46</v>
      </c>
      <c r="G44" s="5" t="str">
        <f>IFERROR(INDEX(code!$B$10:$B$13, MATCH(CENTRE_TEST!$E$28, code!$A$10:$A$13, 0)), "")</f>
        <v>ARRIVEE</v>
      </c>
      <c r="H44" s="5" t="s">
        <v>19</v>
      </c>
      <c r="I44" s="5" t="str">
        <f>CENTRE_TEST!$I$44</f>
        <v>GLOBAL</v>
      </c>
      <c r="J44" s="5" t="str">
        <f>UPPER(TRIM(SUBSTITUTE(G44," ",""))) &amp; "|" &amp;
 UPPER(TRIM(SUBSTITUTE(H44," ",""))) &amp; "|" &amp;
 UPPER(TRIM(SUBSTITUTE(I44," ","")))</f>
        <v>ARRIVEE|AMANA|GLOBAL</v>
      </c>
      <c r="K44" s="19">
        <f>IFERROR(SUMIFS(INPUT_VOLUMES!$D:$D,INPUT_VOLUMES!$A:$A,$G44,INPUT_VOLUMES!$B:$B,$H44,INPUT_VOLUMES!$C:$C,$I44),0)</f>
        <v>50000</v>
      </c>
      <c r="L44" s="19">
        <f>K44/PARAMS!$B$2</f>
        <v>189.39393939393941</v>
      </c>
      <c r="M44" s="19">
        <f>IF(F44="Sac",
   L44 / PARAMS!$B$6,
   L44
)</f>
        <v>37.878787878787882</v>
      </c>
      <c r="N44" s="19">
        <f>IFERROR(INDEX(CENTRE_TEST!$L:$L,MATCH(P44,CENTRE_TEST!$M:$M,0)),0)</f>
        <v>0.18</v>
      </c>
      <c r="O44" s="19">
        <f>IFERROR(
   M44 * (N44/60) * (PARAMS!$B$5 / 100),
0)</f>
        <v>0.11363636363636365</v>
      </c>
      <c r="P44" s="10" t="str">
        <f t="shared" si="0"/>
        <v>FERMETURE SAC</v>
      </c>
    </row>
    <row r="45" spans="1:16" x14ac:dyDescent="0.3">
      <c r="A45" s="5">
        <v>5009</v>
      </c>
      <c r="B45" s="5">
        <v>47</v>
      </c>
      <c r="C45" s="16">
        <v>8286</v>
      </c>
      <c r="D45" s="10" t="s">
        <v>141</v>
      </c>
      <c r="E45" s="10" t="s">
        <v>72</v>
      </c>
      <c r="F45" s="10" t="s">
        <v>44</v>
      </c>
      <c r="G45" s="5" t="str">
        <f>IFERROR(INDEX(code!$B$10:$B$13, MATCH(CENTRE_TEST!$E$28, code!$A$10:$A$13, 0)), "")</f>
        <v>ARRIVEE</v>
      </c>
      <c r="H45" s="5" t="s">
        <v>19</v>
      </c>
      <c r="I45" s="5" t="str">
        <f>CENTRE_TEST!$I$45</f>
        <v>GLOBAL</v>
      </c>
      <c r="J45" s="5" t="str">
        <f>UPPER(TRIM(SUBSTITUTE(G45," ",""))) &amp; "|" &amp;
 UPPER(TRIM(SUBSTITUTE(H45," ",""))) &amp; "|" &amp;
 UPPER(TRIM(SUBSTITUTE(I45," ","")))</f>
        <v>ARRIVEE|AMANA|GLOBAL</v>
      </c>
      <c r="K45" s="19">
        <f>IFERROR(SUMIFS(INPUT_VOLUMES!$D:$D,INPUT_VOLUMES!$A:$A,$G45,INPUT_VOLUMES!$B:$B,$H45,INPUT_VOLUMES!$C:$C,$I45),0)</f>
        <v>50000</v>
      </c>
      <c r="L45" s="19">
        <f>K45/PARAMS!$B$2</f>
        <v>189.39393939393941</v>
      </c>
      <c r="M45" s="19">
        <f>IF(F45="Sac",
   L45 / PARAMS!$B$6,
   L45
)</f>
        <v>189.39393939393941</v>
      </c>
      <c r="N45" s="19">
        <f>IFERROR(INDEX(CENTRE_TEST!$L:$L,MATCH(P45,CENTRE_TEST!$M:$M,0)),0)</f>
        <v>0.358333333333333</v>
      </c>
      <c r="O45" s="19">
        <f>IFERROR(
   M45 * (N45/60) * (PARAMS!$B$5 / 100),
0)</f>
        <v>1.1311026936026927</v>
      </c>
      <c r="P45" s="10" t="str">
        <f t="shared" si="0"/>
        <v>CHARGEMENT CAMION COLIS</v>
      </c>
    </row>
    <row r="46" spans="1:16" x14ac:dyDescent="0.3">
      <c r="A46" s="5">
        <v>5010</v>
      </c>
      <c r="B46" s="5">
        <v>48</v>
      </c>
      <c r="C46" s="16">
        <v>8286</v>
      </c>
      <c r="D46" s="10" t="s">
        <v>141</v>
      </c>
      <c r="E46" s="10" t="s">
        <v>73</v>
      </c>
      <c r="F46" s="10" t="s">
        <v>46</v>
      </c>
      <c r="G46" s="5" t="str">
        <f>IFERROR(INDEX(code!$B$10:$B$13, MATCH(CENTRE_TEST!$E$28, code!$A$10:$A$13, 0)), "")</f>
        <v>ARRIVEE</v>
      </c>
      <c r="H46" s="5" t="s">
        <v>19</v>
      </c>
      <c r="I46" s="5" t="str">
        <f>CENTRE_TEST!$I$46</f>
        <v>GLOBAL</v>
      </c>
      <c r="J46" s="5" t="str">
        <f>UPPER(TRIM(SUBSTITUTE(G46," ",""))) &amp; "|" &amp;
 UPPER(TRIM(SUBSTITUTE(H46," ",""))) &amp; "|" &amp;
 UPPER(TRIM(SUBSTITUTE(I46," ","")))</f>
        <v>ARRIVEE|AMANA|GLOBAL</v>
      </c>
      <c r="K46" s="19">
        <f>IFERROR(SUMIFS(INPUT_VOLUMES!$D:$D,INPUT_VOLUMES!$A:$A,$G46,INPUT_VOLUMES!$B:$B,$H46,INPUT_VOLUMES!$C:$C,$I46),0)</f>
        <v>50000</v>
      </c>
      <c r="L46" s="19">
        <f>K46/PARAMS!$B$2</f>
        <v>189.39393939393941</v>
      </c>
      <c r="M46" s="19">
        <f>IF(F46="Sac",
   L46 / PARAMS!$B$6,
   L46
)</f>
        <v>37.878787878787882</v>
      </c>
      <c r="N46" s="19">
        <f>IFERROR(INDEX(CENTRE_TEST!$L:$L,MATCH(P46,CENTRE_TEST!$M:$M,0)),0)</f>
        <v>0.228333333333333</v>
      </c>
      <c r="O46" s="19">
        <f>IFERROR(
   M46 * (N46/60) * (PARAMS!$B$5 / 100),
0)</f>
        <v>0.14414983164983144</v>
      </c>
      <c r="P46" s="10" t="str">
        <f t="shared" si="0"/>
        <v>CHARGEMENT CAMION SAC</v>
      </c>
    </row>
    <row r="47" spans="1:16" x14ac:dyDescent="0.3">
      <c r="A47" s="5">
        <v>5011</v>
      </c>
      <c r="B47" s="5">
        <v>49</v>
      </c>
      <c r="C47" s="16">
        <v>8286</v>
      </c>
      <c r="D47" s="10" t="s">
        <v>141</v>
      </c>
      <c r="E47" s="10" t="s">
        <v>75</v>
      </c>
      <c r="F47" s="10" t="s">
        <v>74</v>
      </c>
      <c r="G47" s="5" t="str">
        <f>IFERROR(INDEX(code!$B$10:$B$13, MATCH(CENTRE_TEST!$E$28, code!$A$10:$A$13, 0)), "")</f>
        <v>ARRIVEE</v>
      </c>
      <c r="H47" s="5" t="s">
        <v>26</v>
      </c>
      <c r="I47" s="5" t="str">
        <f>CENTRE_TEST!$I$47</f>
        <v>GLOBAL</v>
      </c>
      <c r="J47" s="5" t="str">
        <f>UPPER(TRIM(SUBSTITUTE(G47," ",""))) &amp; "|" &amp;
 UPPER(TRIM(SUBSTITUTE(H47," ",""))) &amp; "|" &amp;
 UPPER(TRIM(SUBSTITUTE(I47," ","")))</f>
        <v>ARRIVEE|CO|GLOBAL</v>
      </c>
      <c r="K47" s="19">
        <f>IFERROR(SUMIFS(INPUT_VOLUMES!$D:$D,INPUT_VOLUMES!$A:$A,$G47,INPUT_VOLUMES!$B:$B,$H47,INPUT_VOLUMES!$C:$C,$I47),0)</f>
        <v>6000</v>
      </c>
      <c r="L47" s="19">
        <f>K47/PARAMS!$B$2</f>
        <v>22.727272727272727</v>
      </c>
      <c r="M47" s="19">
        <f>IF(F47="Sac",
   L47 / PARAMS!$B$6,
   L47
)</f>
        <v>22.727272727272727</v>
      </c>
      <c r="N47" s="19" t="str">
        <f>IFERROR(INDEX(CENTRE_TEST!$L:$L,MATCH(P47,CENTRE_TEST!$M:$M,0)),0)</f>
        <v>NULL</v>
      </c>
      <c r="O47" s="19">
        <f>IFERROR(
   M47 * (N47/60) * (PARAMS!$B$5 / 100),
0)</f>
        <v>0</v>
      </c>
      <c r="P47" s="10" t="str">
        <f t="shared" si="0"/>
        <v>RÉCEPTION COURRIER AVISÉ SUR SI COM</v>
      </c>
    </row>
    <row r="48" spans="1:16" x14ac:dyDescent="0.3">
      <c r="A48" s="5">
        <v>5012</v>
      </c>
      <c r="B48" s="5">
        <v>50</v>
      </c>
      <c r="C48" s="16">
        <v>8286</v>
      </c>
      <c r="D48" s="10" t="s">
        <v>141</v>
      </c>
      <c r="E48" s="10" t="s">
        <v>77</v>
      </c>
      <c r="F48" s="10" t="s">
        <v>76</v>
      </c>
      <c r="G48" s="5" t="str">
        <f>IFERROR(INDEX(code!$B$10:$B$13, MATCH(CENTRE_TEST!$E$28, code!$A$10:$A$13, 0)), "")</f>
        <v>ARRIVEE</v>
      </c>
      <c r="H48" s="5" t="s">
        <v>27</v>
      </c>
      <c r="I48" s="5" t="str">
        <f>CENTRE_TEST!$I$48</f>
        <v>GLOBAL</v>
      </c>
      <c r="J48" s="5" t="str">
        <f>UPPER(TRIM(SUBSTITUTE(G48," ",""))) &amp; "|" &amp;
 UPPER(TRIM(SUBSTITUTE(H48," ",""))) &amp; "|" &amp;
 UPPER(TRIM(SUBSTITUTE(I48," ","")))</f>
        <v>ARRIVEE|CR|GLOBAL</v>
      </c>
      <c r="K48" s="19">
        <f>IFERROR(SUMIFS(INPUT_VOLUMES!$D:$D,INPUT_VOLUMES!$A:$A,$G48,INPUT_VOLUMES!$B:$B,$H48,INPUT_VOLUMES!$C:$C,$I48),0)</f>
        <v>0</v>
      </c>
      <c r="L48" s="19">
        <f>K48/PARAMS!$B$2</f>
        <v>0</v>
      </c>
      <c r="M48" s="19">
        <f>IF(F48="Sac",
   L48 / PARAMS!$B$6,
   L48
)</f>
        <v>0</v>
      </c>
      <c r="N48" s="19">
        <f>IFERROR(INDEX(CENTRE_TEST!$L:$L,MATCH(P48,CENTRE_TEST!$M:$M,0)),0)</f>
        <v>0.43333333333333302</v>
      </c>
      <c r="O48" s="19">
        <f>IFERROR(
   M48 * (N48/60) * (PARAMS!$B$5 / 100),
0)</f>
        <v>0</v>
      </c>
      <c r="P48" s="10" t="str">
        <f t="shared" si="0"/>
        <v>AFFECTATION : AVISÉ, ABONNÉ, VAGUEMASTER …</v>
      </c>
    </row>
    <row r="49" spans="1:16" x14ac:dyDescent="0.3">
      <c r="A49" s="5">
        <v>5013</v>
      </c>
      <c r="B49" s="5">
        <v>51</v>
      </c>
      <c r="C49" s="16">
        <v>8286</v>
      </c>
      <c r="D49" s="10" t="s">
        <v>141</v>
      </c>
      <c r="E49" s="10" t="s">
        <v>78</v>
      </c>
      <c r="F49" s="10" t="s">
        <v>74</v>
      </c>
      <c r="G49" s="5" t="str">
        <f>IFERROR(INDEX(code!$B$10:$B$13, MATCH(CENTRE_TEST!$E$28, code!$A$10:$A$13, 0)), "")</f>
        <v>ARRIVEE</v>
      </c>
      <c r="H49" s="5" t="s">
        <v>26</v>
      </c>
      <c r="I49" s="5" t="str">
        <f>CENTRE_TEST!$I$49</f>
        <v>GLOBAL</v>
      </c>
      <c r="J49" s="5" t="str">
        <f>UPPER(TRIM(SUBSTITUTE(G49," ",""))) &amp; "|" &amp;
 UPPER(TRIM(SUBSTITUTE(H49," ",""))) &amp; "|" &amp;
 UPPER(TRIM(SUBSTITUTE(I49," ","")))</f>
        <v>ARRIVEE|CO|GLOBAL</v>
      </c>
      <c r="K49" s="19">
        <f>IFERROR(SUMIFS(INPUT_VOLUMES!$D:$D,INPUT_VOLUMES!$A:$A,$G49,INPUT_VOLUMES!$B:$B,$H49,INPUT_VOLUMES!$C:$C,$I49),0)</f>
        <v>6000</v>
      </c>
      <c r="L49" s="19">
        <f>K49/PARAMS!$B$2</f>
        <v>22.727272727272727</v>
      </c>
      <c r="M49" s="19">
        <f>IF(F49="Sac",
   L49 / PARAMS!$B$6,
   L49
)</f>
        <v>22.727272727272727</v>
      </c>
      <c r="N49" s="19">
        <f>IFERROR(INDEX(CENTRE_TEST!$L:$L,MATCH(P49,CENTRE_TEST!$M:$M,0)),0)</f>
        <v>3.8333333333333303E-2</v>
      </c>
      <c r="O49" s="19">
        <f>IFERROR(
   M49 * (N49/60) * (PARAMS!$B$5 / 100),
0)</f>
        <v>1.4520202020202008E-2</v>
      </c>
      <c r="P49" s="10" t="str">
        <f t="shared" si="0"/>
        <v>NOTIFICATION ENVOI AVISÉ CLIENT BOITE POSTALE</v>
      </c>
    </row>
    <row r="50" spans="1:16" x14ac:dyDescent="0.3">
      <c r="A50" s="5">
        <v>5014</v>
      </c>
      <c r="B50" s="5">
        <v>53</v>
      </c>
      <c r="C50" s="16">
        <v>8286</v>
      </c>
      <c r="D50" s="10" t="s">
        <v>141</v>
      </c>
      <c r="E50" s="10" t="s">
        <v>79</v>
      </c>
      <c r="F50" s="10" t="s">
        <v>46</v>
      </c>
      <c r="G50" s="5" t="str">
        <f>IFERROR(INDEX(code!$B$10:$B$13, MATCH(CENTRE_TEST!$E$28, code!$A$10:$A$13, 0)), "")</f>
        <v>ARRIVEE</v>
      </c>
      <c r="H50" s="5" t="s">
        <v>19</v>
      </c>
      <c r="I50" s="5" t="str">
        <f>CENTRE_TEST!$I$50</f>
        <v>GLOBAL</v>
      </c>
      <c r="J50" s="5" t="str">
        <f>UPPER(TRIM(SUBSTITUTE(G50," ",""))) &amp; "|" &amp;
 UPPER(TRIM(SUBSTITUTE(H50," ",""))) &amp; "|" &amp;
 UPPER(TRIM(SUBSTITUTE(I50," ","")))</f>
        <v>ARRIVEE|AMANA|GLOBAL</v>
      </c>
      <c r="K50" s="19">
        <f>IFERROR(SUMIFS(INPUT_VOLUMES!$D:$D,INPUT_VOLUMES!$A:$A,$G50,INPUT_VOLUMES!$B:$B,$H50,INPUT_VOLUMES!$C:$C,$I50),0)</f>
        <v>50000</v>
      </c>
      <c r="L50" s="19">
        <f>K50/PARAMS!$B$2</f>
        <v>189.39393939393941</v>
      </c>
      <c r="M50" s="19">
        <f>IF(F50="Sac",
   L50 / PARAMS!$B$6,
   L50
)</f>
        <v>37.878787878787882</v>
      </c>
      <c r="N50" s="19">
        <f>IFERROR(INDEX(CENTRE_TEST!$L:$L,MATCH(P50,CENTRE_TEST!$M:$M,0)),0)</f>
        <v>0.63333333333333297</v>
      </c>
      <c r="O50" s="19">
        <f>IFERROR(
   M50 * (N50/60) * (PARAMS!$B$5 / 100),
0)</f>
        <v>0.39983164983164959</v>
      </c>
      <c r="P50" s="10" t="str">
        <f t="shared" si="0"/>
        <v>DÉCHARGEMENT VAN</v>
      </c>
    </row>
    <row r="51" spans="1:16" x14ac:dyDescent="0.3">
      <c r="A51" s="5">
        <v>5015</v>
      </c>
      <c r="B51" s="5">
        <v>54</v>
      </c>
      <c r="C51" s="16">
        <v>8286</v>
      </c>
      <c r="D51" s="10" t="s">
        <v>141</v>
      </c>
      <c r="E51" s="10" t="s">
        <v>52</v>
      </c>
      <c r="F51" s="10" t="s">
        <v>46</v>
      </c>
      <c r="G51" s="5" t="str">
        <f>IFERROR(INDEX(code!$B$10:$B$13, MATCH(CENTRE_TEST!$E$28, code!$A$10:$A$13, 0)), "")</f>
        <v>ARRIVEE</v>
      </c>
      <c r="H51" s="5" t="s">
        <v>19</v>
      </c>
      <c r="I51" s="5" t="str">
        <f>CENTRE_TEST!$I$51</f>
        <v>GLOBAL</v>
      </c>
      <c r="J51" s="5" t="str">
        <f>UPPER(TRIM(SUBSTITUTE(G51," ",""))) &amp; "|" &amp;
 UPPER(TRIM(SUBSTITUTE(H51," ",""))) &amp; "|" &amp;
 UPPER(TRIM(SUBSTITUTE(I51," ","")))</f>
        <v>ARRIVEE|AMANA|GLOBAL</v>
      </c>
      <c r="K51" s="19">
        <f>IFERROR(SUMIFS(INPUT_VOLUMES!$D:$D,INPUT_VOLUMES!$A:$A,$G51,INPUT_VOLUMES!$B:$B,$H51,INPUT_VOLUMES!$C:$C,$I51),0)</f>
        <v>50000</v>
      </c>
      <c r="L51" s="19">
        <f>K51/PARAMS!$B$2</f>
        <v>189.39393939393941</v>
      </c>
      <c r="M51" s="19">
        <f>IF(F51="Sac",
   L51 / PARAMS!$B$6,
   L51
)</f>
        <v>37.878787878787882</v>
      </c>
      <c r="N51" s="19">
        <f>IFERROR(INDEX(CENTRE_TEST!$L:$L,MATCH(P51,CENTRE_TEST!$M:$M,0)),0)</f>
        <v>3.3333333333333298E-2</v>
      </c>
      <c r="O51" s="19">
        <f>IFERROR(
   M51 * (N51/60) * (PARAMS!$B$5 / 100),
0)</f>
        <v>2.1043771043771024E-2</v>
      </c>
      <c r="P51" s="10" t="str">
        <f t="shared" si="0"/>
        <v>ENREGISTREMENT SUR PART 125</v>
      </c>
    </row>
    <row r="52" spans="1:16" x14ac:dyDescent="0.3">
      <c r="A52" s="5">
        <v>5016</v>
      </c>
      <c r="B52" s="5">
        <v>55</v>
      </c>
      <c r="C52" s="16">
        <v>8286</v>
      </c>
      <c r="D52" s="10" t="s">
        <v>141</v>
      </c>
      <c r="E52" s="10" t="s">
        <v>48</v>
      </c>
      <c r="F52" s="10" t="s">
        <v>46</v>
      </c>
      <c r="G52" s="5" t="str">
        <f>IFERROR(INDEX(code!$B$10:$B$13, MATCH(CENTRE_TEST!$E$28, code!$A$10:$A$13, 0)), "")</f>
        <v>ARRIVEE</v>
      </c>
      <c r="H52" s="5" t="s">
        <v>19</v>
      </c>
      <c r="I52" s="5" t="str">
        <f>CENTRE_TEST!$I$52</f>
        <v>GLOBAL</v>
      </c>
      <c r="J52" s="5" t="str">
        <f>UPPER(TRIM(SUBSTITUTE(G52," ",""))) &amp; "|" &amp;
 UPPER(TRIM(SUBSTITUTE(H52," ",""))) &amp; "|" &amp;
 UPPER(TRIM(SUBSTITUTE(I52," ","")))</f>
        <v>ARRIVEE|AMANA|GLOBAL</v>
      </c>
      <c r="K52" s="19">
        <f>IFERROR(SUMIFS(INPUT_VOLUMES!$D:$D,INPUT_VOLUMES!$A:$A,$G52,INPUT_VOLUMES!$B:$B,$H52,INPUT_VOLUMES!$C:$C,$I52),0)</f>
        <v>50000</v>
      </c>
      <c r="L52" s="19">
        <f>K52/PARAMS!$B$2</f>
        <v>189.39393939393941</v>
      </c>
      <c r="M52" s="19">
        <f>IF(F52="Sac",
   L52 / PARAMS!$B$6,
   L52
)</f>
        <v>37.878787878787882</v>
      </c>
      <c r="N52" s="19">
        <v>4</v>
      </c>
      <c r="O52" s="19">
        <f>IFERROR(
   M52 * (N52/60) * (PARAMS!$B$5 / 100),
0)</f>
        <v>2.5252525252525255</v>
      </c>
      <c r="P52" s="10" t="str">
        <f t="shared" si="0"/>
        <v>OUVERTURE SAC</v>
      </c>
    </row>
    <row r="53" spans="1:16" x14ac:dyDescent="0.3">
      <c r="A53" s="5">
        <v>5017</v>
      </c>
      <c r="B53" s="5">
        <v>56</v>
      </c>
      <c r="C53" s="16">
        <v>8286</v>
      </c>
      <c r="D53" s="10" t="s">
        <v>141</v>
      </c>
      <c r="E53" s="10" t="s">
        <v>51</v>
      </c>
      <c r="F53" s="10" t="s">
        <v>76</v>
      </c>
      <c r="G53" s="5" t="str">
        <f>IFERROR(INDEX(code!$B$10:$B$13, MATCH(CENTRE_TEST!$E$28, code!$A$10:$A$13, 0)), "")</f>
        <v>ARRIVEE</v>
      </c>
      <c r="H53" s="5" t="s">
        <v>27</v>
      </c>
      <c r="I53" s="5" t="str">
        <f>CENTRE_TEST!$I$53</f>
        <v>GLOBAL</v>
      </c>
      <c r="J53" s="5" t="str">
        <f>UPPER(TRIM(SUBSTITUTE(G53," ",""))) &amp; "|" &amp;
 UPPER(TRIM(SUBSTITUTE(H53," ",""))) &amp; "|" &amp;
 UPPER(TRIM(SUBSTITUTE(I53," ","")))</f>
        <v>ARRIVEE|CR|GLOBAL</v>
      </c>
      <c r="K53" s="19">
        <f>IFERROR(SUMIFS(INPUT_VOLUMES!$D:$D,INPUT_VOLUMES!$A:$A,$G53,INPUT_VOLUMES!$B:$B,$H53,INPUT_VOLUMES!$C:$C,$I53),0)</f>
        <v>0</v>
      </c>
      <c r="L53" s="19">
        <f>K53/PARAMS!$B$2</f>
        <v>0</v>
      </c>
      <c r="M53" s="19">
        <f>IF(F53="Sac",
   L53 / PARAMS!$B$6,
   L53
)</f>
        <v>0</v>
      </c>
      <c r="N53" s="19">
        <f>IFERROR(INDEX(CENTRE_TEST!$L:$L,MATCH(P53,CENTRE_TEST!$M:$M,0)),0)</f>
        <v>3.3333333333333298E-2</v>
      </c>
      <c r="O53" s="19">
        <f>IFERROR(
   M53 * (N53/60) * (PARAMS!$B$5 / 100),
0)</f>
        <v>0</v>
      </c>
      <c r="P53" s="10" t="str">
        <f>UPPER(TRIM(SUBSTITUTE(SUBSTITUTE(E53,CHAR(10)," "),CHAR(13)," ")))</f>
        <v>SCAN &amp; RÉCEPTION SI</v>
      </c>
    </row>
    <row r="54" spans="1:16" x14ac:dyDescent="0.3">
      <c r="A54" s="5">
        <v>5018</v>
      </c>
      <c r="B54" s="5">
        <v>57</v>
      </c>
      <c r="C54" s="16">
        <v>8286</v>
      </c>
      <c r="D54" s="10" t="s">
        <v>141</v>
      </c>
      <c r="E54" s="10" t="s">
        <v>81</v>
      </c>
      <c r="F54" s="10" t="s">
        <v>76</v>
      </c>
      <c r="G54" s="5" t="str">
        <f>IFERROR(INDEX(code!$B$10:$B$13, MATCH(CENTRE_TEST!$E$28, code!$A$10:$A$13, 0)), "")</f>
        <v>ARRIVEE</v>
      </c>
      <c r="H54" s="5" t="s">
        <v>27</v>
      </c>
      <c r="I54" s="5" t="str">
        <f>CENTRE_TEST!$I$54</f>
        <v>GLOBAL</v>
      </c>
      <c r="J54" s="5" t="str">
        <f>UPPER(TRIM(SUBSTITUTE(G54," ",""))) &amp; "|" &amp;
 UPPER(TRIM(SUBSTITUTE(H54," ",""))) &amp; "|" &amp;
 UPPER(TRIM(SUBSTITUTE(I54," ","")))</f>
        <v>ARRIVEE|CR|GLOBAL</v>
      </c>
      <c r="K54" s="19">
        <f>IFERROR(SUMIFS(INPUT_VOLUMES!$D:$D,INPUT_VOLUMES!$A:$A,$G54,INPUT_VOLUMES!$B:$B,$H54,INPUT_VOLUMES!$C:$C,$I54),0)</f>
        <v>0</v>
      </c>
      <c r="L54" s="19">
        <f>K54/PARAMS!$B$2</f>
        <v>0</v>
      </c>
      <c r="M54" s="19">
        <f>IF(F54="Sac",
   L54 / PARAMS!$B$6,
   L54
)</f>
        <v>0</v>
      </c>
      <c r="N54" s="19">
        <f>IFERROR(INDEX(CENTRE_TEST!$L:$L,MATCH(P54,CENTRE_TEST!$M:$M,0)),0)</f>
        <v>0.43333333333333302</v>
      </c>
      <c r="O54" s="19">
        <f>IFERROR(
   M54 * (N54/60) * (PARAMS!$B$5 / 100),
0)</f>
        <v>0</v>
      </c>
      <c r="P54" s="10" t="str">
        <f t="shared" si="0"/>
        <v>AFFECTATION AU GUICHET</v>
      </c>
    </row>
    <row r="55" spans="1:16" x14ac:dyDescent="0.3">
      <c r="A55" s="5">
        <v>5019</v>
      </c>
      <c r="B55" s="5">
        <v>58</v>
      </c>
      <c r="C55" s="16">
        <v>8286</v>
      </c>
      <c r="D55" s="10" t="s">
        <v>141</v>
      </c>
      <c r="E55" s="10" t="s">
        <v>56</v>
      </c>
      <c r="F55" s="10" t="s">
        <v>76</v>
      </c>
      <c r="G55" s="5" t="str">
        <f>IFERROR(INDEX(code!$B$10:$B$13, MATCH(CENTRE_TEST!$E$28, code!$A$10:$A$13, 0)), "")</f>
        <v>ARRIVEE</v>
      </c>
      <c r="H55" s="5" t="s">
        <v>27</v>
      </c>
      <c r="I55" s="5" t="str">
        <f>CENTRE_TEST!$I$55</f>
        <v>GLOBAL</v>
      </c>
      <c r="J55" s="5" t="str">
        <f>UPPER(TRIM(SUBSTITUTE(G55," ",""))) &amp; "|" &amp;
 UPPER(TRIM(SUBSTITUTE(H55," ",""))) &amp; "|" &amp;
 UPPER(TRIM(SUBSTITUTE(I55," ","")))</f>
        <v>ARRIVEE|CR|GLOBAL</v>
      </c>
      <c r="K55" s="19">
        <f>IFERROR(SUMIFS(INPUT_VOLUMES!$D:$D,INPUT_VOLUMES!$A:$A,$G55,INPUT_VOLUMES!$B:$B,$H55,INPUT_VOLUMES!$C:$C,$I55),0)</f>
        <v>0</v>
      </c>
      <c r="L55" s="19">
        <f>K55/PARAMS!$B$2</f>
        <v>0</v>
      </c>
      <c r="M55" s="19">
        <f>IF(F55="Sac",
   L55 / PARAMS!$B$6,
   L55
)</f>
        <v>0</v>
      </c>
      <c r="N55" s="19">
        <f>IFERROR(INDEX(CENTRE_TEST!$L:$L,MATCH(P55,CENTRE_TEST!$M:$M,0)),0)</f>
        <v>5.0000000000000001E-3</v>
      </c>
      <c r="O55" s="19">
        <f>IFERROR(
   M55 * (N55/60) * (PARAMS!$B$5 / 100),
0)</f>
        <v>0</v>
      </c>
      <c r="P55" s="10" t="str">
        <f t="shared" si="0"/>
        <v>SCAN ET ÉDITION DNL</v>
      </c>
    </row>
    <row r="56" spans="1:16" x14ac:dyDescent="0.3">
      <c r="A56" s="5">
        <v>5020</v>
      </c>
      <c r="B56" s="5">
        <v>59</v>
      </c>
      <c r="C56" s="16">
        <v>8286</v>
      </c>
      <c r="D56" s="10" t="s">
        <v>141</v>
      </c>
      <c r="E56" s="10" t="s">
        <v>82</v>
      </c>
      <c r="F56" s="10" t="s">
        <v>76</v>
      </c>
      <c r="G56" s="5" t="str">
        <f>IFERROR(INDEX(code!$B$10:$B$13, MATCH(CENTRE_TEST!$E$28, code!$A$10:$A$13, 0)), "")</f>
        <v>ARRIVEE</v>
      </c>
      <c r="H56" s="5" t="s">
        <v>27</v>
      </c>
      <c r="I56" s="5" t="str">
        <f>CENTRE_TEST!$I$56</f>
        <v>GLOBAL</v>
      </c>
      <c r="J56" s="5" t="str">
        <f>UPPER(TRIM(SUBSTITUTE(G56," ",""))) &amp; "|" &amp;
 UPPER(TRIM(SUBSTITUTE(H56," ",""))) &amp; "|" &amp;
 UPPER(TRIM(SUBSTITUTE(I56," ","")))</f>
        <v>ARRIVEE|CR|GLOBAL</v>
      </c>
      <c r="K56" s="19">
        <f>IFERROR(SUMIFS(INPUT_VOLUMES!$D:$D,INPUT_VOLUMES!$A:$A,$G56,INPUT_VOLUMES!$B:$B,$H56,INPUT_VOLUMES!$C:$C,$I56),0)</f>
        <v>0</v>
      </c>
      <c r="L56" s="19">
        <f>K56/PARAMS!$B$2</f>
        <v>0</v>
      </c>
      <c r="M56" s="19">
        <f>IF(F56="Sac",
   L56 / PARAMS!$B$6,
   L56
)</f>
        <v>0</v>
      </c>
      <c r="N56" s="19" t="str">
        <f>IFERROR(INDEX(CENTRE_TEST!$L:$L,MATCH(P56,CENTRE_TEST!$M:$M,0)),0)</f>
        <v>NULL</v>
      </c>
      <c r="O56" s="19">
        <f>IFERROR(
   M56 * (N56/60) * (PARAMS!$B$5 / 100),
0)</f>
        <v>0</v>
      </c>
      <c r="P56" s="10" t="str">
        <f t="shared" si="0"/>
        <v>REMISE À L'AGENT BARID PRO</v>
      </c>
    </row>
    <row r="57" spans="1:16" x14ac:dyDescent="0.3">
      <c r="A57" s="5">
        <v>5021</v>
      </c>
      <c r="B57" s="5">
        <v>60</v>
      </c>
      <c r="C57" s="16">
        <v>8286</v>
      </c>
      <c r="D57" s="10" t="s">
        <v>141</v>
      </c>
      <c r="E57" s="10" t="s">
        <v>55</v>
      </c>
      <c r="F57" s="10" t="s">
        <v>74</v>
      </c>
      <c r="G57" s="5" t="str">
        <f>IFERROR(INDEX(code!$B$10:$B$13, MATCH(CENTRE_TEST!$E$28, code!$A$10:$A$13, 0)), "")</f>
        <v>ARRIVEE</v>
      </c>
      <c r="H57" s="5" t="s">
        <v>26</v>
      </c>
      <c r="I57" s="5" t="str">
        <f>CENTRE_TEST!$I$57</f>
        <v>GLOBAL</v>
      </c>
      <c r="J57" s="5" t="str">
        <f>UPPER(TRIM(SUBSTITUTE(G57," ",""))) &amp; "|" &amp;
 UPPER(TRIM(SUBSTITUTE(H57," ",""))) &amp; "|" &amp;
 UPPER(TRIM(SUBSTITUTE(I57," ","")))</f>
        <v>ARRIVEE|CO|GLOBAL</v>
      </c>
      <c r="K57" s="19">
        <f>IFERROR(SUMIFS(INPUT_VOLUMES!$D:$D,INPUT_VOLUMES!$A:$A,$G57,INPUT_VOLUMES!$B:$B,$H57,INPUT_VOLUMES!$C:$C,$I57),0)</f>
        <v>6000</v>
      </c>
      <c r="L57" s="19">
        <f>K57/PARAMS!$B$2</f>
        <v>22.727272727272727</v>
      </c>
      <c r="M57" s="19">
        <f>IF(F57="Sac",
   L57 / PARAMS!$B$6,
   L57
)</f>
        <v>22.727272727272727</v>
      </c>
      <c r="N57" s="19">
        <f>IFERROR(INDEX(CENTRE_TEST!$L:$L,MATCH(P57,CENTRE_TEST!$M:$M,0)),0)</f>
        <v>0.4</v>
      </c>
      <c r="O57" s="19">
        <f>IFERROR(
   M57 * (N57/60) * (PARAMS!$B$5 / 100),
0)</f>
        <v>0.15151515151515152</v>
      </c>
      <c r="P57" s="10" t="str">
        <f t="shared" si="0"/>
        <v>PRÉPARATIN FICHIER EXCEL</v>
      </c>
    </row>
    <row r="58" spans="1:16" x14ac:dyDescent="0.3">
      <c r="A58" s="5">
        <v>5022</v>
      </c>
      <c r="B58" s="5">
        <v>61</v>
      </c>
      <c r="C58" s="16">
        <v>8286</v>
      </c>
      <c r="D58" s="10" t="s">
        <v>141</v>
      </c>
      <c r="E58" s="10" t="s">
        <v>88</v>
      </c>
      <c r="F58" s="10" t="s">
        <v>74</v>
      </c>
      <c r="G58" s="5" t="str">
        <f>IFERROR(INDEX(code!$B$10:$B$13, MATCH(CENTRE_TEST!$E$28, code!$A$10:$A$13, 0)), "")</f>
        <v>ARRIVEE</v>
      </c>
      <c r="H58" s="5" t="s">
        <v>26</v>
      </c>
      <c r="I58" s="5" t="str">
        <f>CENTRE_TEST!$I$58</f>
        <v>GLOBAL</v>
      </c>
      <c r="J58" s="5" t="str">
        <f>UPPER(TRIM(SUBSTITUTE(G58," ",""))) &amp; "|" &amp;
 UPPER(TRIM(SUBSTITUTE(H58," ",""))) &amp; "|" &amp;
 UPPER(TRIM(SUBSTITUTE(I58," ","")))</f>
        <v>ARRIVEE|CO|GLOBAL</v>
      </c>
      <c r="K58" s="19">
        <f>IFERROR(SUMIFS(INPUT_VOLUMES!$D:$D,INPUT_VOLUMES!$A:$A,$G58,INPUT_VOLUMES!$B:$B,$H58,INPUT_VOLUMES!$C:$C,$I58),0)</f>
        <v>6000</v>
      </c>
      <c r="L58" s="19">
        <f>K58/PARAMS!$B$2</f>
        <v>22.727272727272727</v>
      </c>
      <c r="M58" s="19">
        <f>IF(F58="Sac",
   L58 / PARAMS!$B$6,
   L58
)</f>
        <v>22.727272727272727</v>
      </c>
      <c r="N58" s="19">
        <f>IFERROR(INDEX(CENTRE_TEST!$L:$L,MATCH(P58,CENTRE_TEST!$M:$M,0)),0)</f>
        <v>0.4</v>
      </c>
      <c r="O58" s="19">
        <f>IFERROR(
   M58 * (N58/60) * (PARAMS!$B$5 / 100),
0)</f>
        <v>0.15151515151515152</v>
      </c>
      <c r="P58" s="10" t="str">
        <f t="shared" si="0"/>
        <v>PRÉPARATION &amp; MISE EN SAC</v>
      </c>
    </row>
    <row r="59" spans="1:16" x14ac:dyDescent="0.3">
      <c r="A59" s="5">
        <v>5023</v>
      </c>
      <c r="B59" s="5">
        <v>62</v>
      </c>
      <c r="C59" s="16">
        <v>8286</v>
      </c>
      <c r="D59" s="10" t="s">
        <v>141</v>
      </c>
      <c r="E59" s="10" t="s">
        <v>89</v>
      </c>
      <c r="F59" s="10" t="s">
        <v>46</v>
      </c>
      <c r="G59" s="5" t="str">
        <f>IFERROR(INDEX(code!$B$10:$B$13, MATCH(CENTRE_TEST!$E$52, code!$A$10:$A$13, 0)), "")</f>
        <v>ARRIVEE</v>
      </c>
      <c r="H59" s="5" t="s">
        <v>19</v>
      </c>
      <c r="I59" s="5" t="str">
        <f>CENTRE_TEST!$I$52</f>
        <v>GLOBAL</v>
      </c>
      <c r="J59" s="5" t="str">
        <f>UPPER(TRIM(SUBSTITUTE(G59," ",""))) &amp; "|" &amp;
 UPPER(TRIM(SUBSTITUTE(H59," ",""))) &amp; "|" &amp;
 UPPER(TRIM(SUBSTITUTE(I59," ","")))</f>
        <v>ARRIVEE|AMANA|GLOBAL</v>
      </c>
      <c r="K59" s="19">
        <f>IFERROR(SUMIFS(INPUT_VOLUMES!$D:$D,INPUT_VOLUMES!$A:$A,$G59,INPUT_VOLUMES!$B:$B,$H59,INPUT_VOLUMES!$C:$C,$I59),0)</f>
        <v>50000</v>
      </c>
      <c r="L59" s="19">
        <f>K59/PARAMS!$B$2</f>
        <v>189.39393939393941</v>
      </c>
      <c r="M59" s="19">
        <f>IF(F59="Sac",
   L59 / PARAMS!$B$6,
   L59
)</f>
        <v>37.878787878787882</v>
      </c>
      <c r="N59" s="19">
        <f>IFERROR(INDEX(CENTRE_TEST!$L:$L,MATCH(P59,CENTRE_TEST!$M:$M,0)),0)</f>
        <v>0.4</v>
      </c>
      <c r="O59" s="19">
        <f>IFERROR(
   M59 * (N59/60) * (PARAMS!$B$5 / 100),
0)</f>
        <v>0.25252525252525254</v>
      </c>
      <c r="P59" s="10" t="str">
        <f t="shared" si="0"/>
        <v>REMPLISSAGE SAC</v>
      </c>
    </row>
    <row r="60" spans="1:16" x14ac:dyDescent="0.3">
      <c r="A60" s="5">
        <v>5024</v>
      </c>
      <c r="B60" s="5">
        <v>63</v>
      </c>
      <c r="C60" s="16">
        <v>8286</v>
      </c>
      <c r="D60" s="10" t="s">
        <v>141</v>
      </c>
      <c r="E60" s="10" t="s">
        <v>70</v>
      </c>
      <c r="F60" s="10" t="s">
        <v>46</v>
      </c>
      <c r="G60" s="5" t="str">
        <f>IFERROR(INDEX(code!$B$10:$B$13, MATCH(CENTRE_TEST!$E$52, code!$A$10:$A$13, 0)), "")</f>
        <v>ARRIVEE</v>
      </c>
      <c r="H60" s="5" t="s">
        <v>19</v>
      </c>
      <c r="I60" s="5" t="str">
        <f>CENTRE_TEST!$I$52</f>
        <v>GLOBAL</v>
      </c>
      <c r="J60" s="5" t="str">
        <f>UPPER(TRIM(SUBSTITUTE(G60," ",""))) &amp; "|" &amp;
 UPPER(TRIM(SUBSTITUTE(H60," ",""))) &amp; "|" &amp;
 UPPER(TRIM(SUBSTITUTE(I60," ","")))</f>
        <v>ARRIVEE|AMANA|GLOBAL</v>
      </c>
      <c r="K60" s="19">
        <f>IFERROR(SUMIFS(INPUT_VOLUMES!$D:$D,INPUT_VOLUMES!$A:$A,$G60,INPUT_VOLUMES!$B:$B,$H60,INPUT_VOLUMES!$C:$C,$I60),0)</f>
        <v>50000</v>
      </c>
      <c r="L60" s="19">
        <f>K60/PARAMS!$B$2</f>
        <v>189.39393939393941</v>
      </c>
      <c r="M60" s="19">
        <f>IF(F60="Sac",
   L60 / PARAMS!$B$6,
   L60
)</f>
        <v>37.878787878787882</v>
      </c>
      <c r="N60" s="19">
        <f>IFERROR(INDEX(CENTRE_TEST!$L:$L,MATCH(P60,CENTRE_TEST!$M:$M,0)),0)</f>
        <v>0.19</v>
      </c>
      <c r="O60" s="19">
        <f>IFERROR(
   M60 * (N60/60) * (PARAMS!$B$5 / 100),
0)</f>
        <v>0.11994949494949496</v>
      </c>
      <c r="P60" s="10" t="str">
        <f t="shared" si="0"/>
        <v>EDITION PART</v>
      </c>
    </row>
    <row r="61" spans="1:16" x14ac:dyDescent="0.3">
      <c r="A61" s="5">
        <v>5025</v>
      </c>
      <c r="B61" s="5">
        <v>69</v>
      </c>
      <c r="C61" s="16">
        <v>8286</v>
      </c>
      <c r="D61" s="10" t="s">
        <v>141</v>
      </c>
      <c r="E61" s="10" t="s">
        <v>90</v>
      </c>
      <c r="F61" s="10" t="s">
        <v>46</v>
      </c>
      <c r="G61" s="5" t="str">
        <f>IFERROR(INDEX(code!$B$10:$B$13, MATCH(CENTRE_TEST!$E$52, code!$A$10:$A$13, 0)), "")</f>
        <v>ARRIVEE</v>
      </c>
      <c r="H61" s="5" t="s">
        <v>19</v>
      </c>
      <c r="I61" s="5" t="str">
        <f>CENTRE_TEST!$I$52</f>
        <v>GLOBAL</v>
      </c>
      <c r="J61" s="5" t="str">
        <f>UPPER(TRIM(SUBSTITUTE(G61," ",""))) &amp; "|" &amp;
 UPPER(TRIM(SUBSTITUTE(H61," ",""))) &amp; "|" &amp;
 UPPER(TRIM(SUBSTITUTE(I61," ","")))</f>
        <v>ARRIVEE|AMANA|GLOBAL</v>
      </c>
      <c r="K61" s="19">
        <f>IFERROR(SUMIFS(INPUT_VOLUMES!$D:$D,INPUT_VOLUMES!$A:$A,$G61,INPUT_VOLUMES!$B:$B,$H61,INPUT_VOLUMES!$C:$C,$I61),0)</f>
        <v>50000</v>
      </c>
      <c r="L61" s="19">
        <f>K61/PARAMS!$B$2</f>
        <v>189.39393939393941</v>
      </c>
      <c r="M61" s="19">
        <f>IF(F61="Sac",
   L61 / PARAMS!$B$6,
   L61
)</f>
        <v>37.878787878787882</v>
      </c>
      <c r="N61" s="19">
        <f>IFERROR(INDEX(CENTRE_TEST!$L:$L,MATCH(P61,CENTRE_TEST!$M:$M,0)),0)</f>
        <v>0.4</v>
      </c>
      <c r="O61" s="19">
        <f>IFERROR(
   M61 * (N61/60) * (PARAMS!$B$5 / 100),
0)</f>
        <v>0.25252525252525254</v>
      </c>
      <c r="P61" s="10" t="str">
        <f t="shared" si="0"/>
        <v>CHARGEMENT VAN</v>
      </c>
    </row>
    <row r="62" spans="1:16" x14ac:dyDescent="0.3">
      <c r="A62" s="5">
        <v>5026</v>
      </c>
      <c r="B62" s="5">
        <v>70</v>
      </c>
      <c r="C62" s="16">
        <v>8286</v>
      </c>
      <c r="D62" s="10" t="s">
        <v>141</v>
      </c>
      <c r="E62" s="10" t="s">
        <v>92</v>
      </c>
      <c r="F62" s="10" t="s">
        <v>91</v>
      </c>
      <c r="G62" s="5" t="str">
        <f>IFERROR(INDEX(code!$B$10:$B$13, MATCH(CENTRE_TEST!$E$62, code!$A$10:$A$13, 0)), "")</f>
        <v>ARRIVEE</v>
      </c>
      <c r="H62" s="5"/>
      <c r="I62" s="5" t="str">
        <f>CENTRE_TEST!$I$62</f>
        <v>GLOBAL</v>
      </c>
      <c r="J62" s="5" t="str">
        <f>UPPER(TRIM(SUBSTITUTE(G62," ",""))) &amp; "|" &amp;
 UPPER(TRIM(SUBSTITUTE(H62," ",""))) &amp; "|" &amp;
 UPPER(TRIM(SUBSTITUTE(I62," ","")))</f>
        <v>ARRIVEE||GLOBAL</v>
      </c>
      <c r="K62" s="19">
        <f>IFERROR(SUMIFS(INPUT_VOLUMES!$D:$D,INPUT_VOLUMES!$A:$A,$G62,INPUT_VOLUMES!$B:$B,$H62,INPUT_VOLUMES!$C:$C,$I62),0)</f>
        <v>0</v>
      </c>
      <c r="L62" s="19">
        <f>K62/PARAMS!$B$2</f>
        <v>0</v>
      </c>
      <c r="M62" s="19">
        <f>IF(F62="Sac",
   L62 / PARAMS!$B$6,
   L62
)</f>
        <v>0</v>
      </c>
      <c r="N62" s="19">
        <f>IFERROR(INDEX(CENTRE_TEST!$L:$L,MATCH(P62,CENTRE_TEST!$M:$M,0)),0)</f>
        <v>5.0000000000000001E-3</v>
      </c>
      <c r="O62" s="19">
        <f>IFERROR(
   M62 * (N62/60) * (PARAMS!$B$5 / 100),
0)</f>
        <v>0</v>
      </c>
      <c r="P62" s="10" t="str">
        <f t="shared" si="0"/>
        <v>DÉMARRAGE MACHINE</v>
      </c>
    </row>
    <row r="63" spans="1:16" x14ac:dyDescent="0.3">
      <c r="A63" s="5">
        <v>5027</v>
      </c>
      <c r="B63" s="5">
        <v>71</v>
      </c>
      <c r="C63" s="16">
        <v>8286</v>
      </c>
      <c r="D63" s="10" t="s">
        <v>141</v>
      </c>
      <c r="E63" s="10" t="s">
        <v>93</v>
      </c>
      <c r="F63" s="10" t="s">
        <v>91</v>
      </c>
      <c r="G63" s="5" t="str">
        <f>IFERROR(INDEX(code!$B$10:$B$13, MATCH(CENTRE_TEST!$E$63, code!$A$10:$A$13, 0)), "")</f>
        <v>ARRIVEE</v>
      </c>
      <c r="H63" s="5" t="str">
        <f>IFERROR(INDEX([1]TACHES!$D:$D, MATCH(E63, [1]TACHES!$F:$F, 0)), "")</f>
        <v/>
      </c>
      <c r="I63" s="5" t="str">
        <f>CENTRE_TEST!$I$63</f>
        <v>GLOBAL</v>
      </c>
      <c r="J63" s="5" t="str">
        <f>UPPER(TRIM(SUBSTITUTE(G63," ",""))) &amp; "|" &amp;
 UPPER(TRIM(SUBSTITUTE(H63," ",""))) &amp; "|" &amp;
 UPPER(TRIM(SUBSTITUTE(I63," ","")))</f>
        <v>ARRIVEE||GLOBAL</v>
      </c>
      <c r="K63" s="19">
        <f>IFERROR(SUMIFS(INPUT_VOLUMES!$D:$D,INPUT_VOLUMES!$A:$A,$G63,INPUT_VOLUMES!$B:$B,$H63,INPUT_VOLUMES!$C:$C,$I63),0)</f>
        <v>0</v>
      </c>
      <c r="L63" s="19">
        <f>K63/PARAMS!$B$2</f>
        <v>0</v>
      </c>
      <c r="M63" s="19">
        <f>IF(F63="Sac",
   L63 / PARAMS!$B$6,
   L63
)</f>
        <v>0</v>
      </c>
      <c r="N63" s="19" t="str">
        <f>IFERROR(INDEX(CENTRE_TEST!$L:$L,MATCH(P63,CENTRE_TEST!$M:$M,0)),0)</f>
        <v>NULL</v>
      </c>
      <c r="O63" s="19">
        <f>IFERROR(
   M63 * (N63/60) * (PARAMS!$B$5 / 100),
0)</f>
        <v>0</v>
      </c>
      <c r="P63" s="10" t="str">
        <f t="shared" si="0"/>
        <v>MISE EN SERVICE</v>
      </c>
    </row>
    <row r="64" spans="1:16" x14ac:dyDescent="0.3">
      <c r="A64" s="5">
        <v>5028</v>
      </c>
      <c r="B64" s="5">
        <v>72</v>
      </c>
      <c r="C64" s="16">
        <v>8286</v>
      </c>
      <c r="D64" s="10" t="s">
        <v>141</v>
      </c>
      <c r="E64" s="10" t="s">
        <v>94</v>
      </c>
      <c r="F64" s="10" t="s">
        <v>74</v>
      </c>
      <c r="G64" s="5" t="str">
        <f>IFERROR(INDEX(code!$B$10:$B$13, MATCH(CENTRE_TEST!$E$64, code!$A$10:$A$13, 0)), "")</f>
        <v>ARRIVEE</v>
      </c>
      <c r="H64" s="5" t="s">
        <v>26</v>
      </c>
      <c r="I64" s="5" t="str">
        <f>CENTRE_TEST!$I$64</f>
        <v>GLOBAL</v>
      </c>
      <c r="J64" s="5" t="str">
        <f>UPPER(TRIM(SUBSTITUTE(G64," ",""))) &amp; "|" &amp;
 UPPER(TRIM(SUBSTITUTE(H64," ",""))) &amp; "|" &amp;
 UPPER(TRIM(SUBSTITUTE(I64," ","")))</f>
        <v>ARRIVEE|CO|GLOBAL</v>
      </c>
      <c r="K64" s="19">
        <f>IFERROR(SUMIFS(INPUT_VOLUMES!$D:$D,INPUT_VOLUMES!$A:$A,$G64,INPUT_VOLUMES!$B:$B,$H64,INPUT_VOLUMES!$C:$C,$I64),0)</f>
        <v>6000</v>
      </c>
      <c r="L64" s="19">
        <f>K64/PARAMS!$B$2</f>
        <v>22.727272727272727</v>
      </c>
      <c r="M64" s="19">
        <f>IF(F64="Sac",
   L64 / PARAMS!$B$6,
   L64
)</f>
        <v>22.727272727272727</v>
      </c>
      <c r="N64" s="19">
        <f>IFERROR(INDEX(CENTRE_TEST!$L:$L,MATCH(P64,CENTRE_TEST!$M:$M,0)),0)</f>
        <v>0.16666666666666699</v>
      </c>
      <c r="O64" s="19">
        <f>IFERROR(
   M64 * (N64/60) * (PARAMS!$B$5 / 100),
0)</f>
        <v>6.3131313131313246E-2</v>
      </c>
      <c r="P64" s="10" t="str">
        <f t="shared" si="0"/>
        <v>PESAGE COURRIER</v>
      </c>
    </row>
    <row r="65" spans="1:16" x14ac:dyDescent="0.3">
      <c r="A65" s="5">
        <v>5029</v>
      </c>
      <c r="B65" s="5">
        <v>73</v>
      </c>
      <c r="C65" s="16">
        <v>8286</v>
      </c>
      <c r="D65" s="10" t="s">
        <v>141</v>
      </c>
      <c r="E65" s="10" t="s">
        <v>95</v>
      </c>
      <c r="F65" s="10" t="s">
        <v>74</v>
      </c>
      <c r="G65" s="5" t="str">
        <f>IFERROR(INDEX(code!$B$10:$B$13, MATCH(CENTRE_TEST!$E$65, code!$A$10:$A$13, 0)), "")</f>
        <v>ARRIVEE</v>
      </c>
      <c r="H65" s="5" t="s">
        <v>26</v>
      </c>
      <c r="I65" s="5" t="str">
        <f>CENTRE_TEST!$I$65</f>
        <v>GLOBAL</v>
      </c>
      <c r="J65" s="5" t="str">
        <f>UPPER(TRIM(SUBSTITUTE(G65," ",""))) &amp; "|" &amp;
 UPPER(TRIM(SUBSTITUTE(H65," ",""))) &amp; "|" &amp;
 UPPER(TRIM(SUBSTITUTE(I65," ","")))</f>
        <v>ARRIVEE|CO|GLOBAL</v>
      </c>
      <c r="K65" s="19">
        <f>IFERROR(SUMIFS(INPUT_VOLUMES!$D:$D,INPUT_VOLUMES!$A:$A,$G65,INPUT_VOLUMES!$B:$B,$H65,INPUT_VOLUMES!$C:$C,$I65),0)</f>
        <v>6000</v>
      </c>
      <c r="L65" s="19">
        <f>K65/PARAMS!$B$2</f>
        <v>22.727272727272727</v>
      </c>
      <c r="M65" s="19">
        <f>IF(F65="Sac",
   L65 / PARAMS!$B$6,
   L65
)</f>
        <v>22.727272727272727</v>
      </c>
      <c r="N65" s="19">
        <f>IFERROR(INDEX(CENTRE_TEST!$L:$L,MATCH(P65,CENTRE_TEST!$M:$M,0)),0)</f>
        <v>0.16666666666666699</v>
      </c>
      <c r="O65" s="19">
        <f>IFERROR(
   M65 * (N65/60) * (PARAMS!$B$5 / 100),
0)</f>
        <v>6.3131313131313246E-2</v>
      </c>
      <c r="P65" s="10" t="str">
        <f t="shared" si="0"/>
        <v>TRAITEMENT SUR LA MACHINE MAG (AFFRANCHISSEMENT)</v>
      </c>
    </row>
    <row r="66" spans="1:16" x14ac:dyDescent="0.3">
      <c r="A66" s="5">
        <v>5030</v>
      </c>
      <c r="B66" s="5">
        <v>74</v>
      </c>
      <c r="C66" s="16">
        <v>8286</v>
      </c>
      <c r="D66" s="10" t="s">
        <v>141</v>
      </c>
      <c r="E66" s="10" t="s">
        <v>63</v>
      </c>
      <c r="F66" s="10" t="s">
        <v>74</v>
      </c>
      <c r="G66" s="5" t="str">
        <f>IFERROR(INDEX(code!$B$10:$B$13, MATCH(CENTRE_TEST!$E$66, code!$A$10:$A$13, 0)), "")</f>
        <v>ARRIVEE</v>
      </c>
      <c r="H66" s="5" t="s">
        <v>19</v>
      </c>
      <c r="I66" s="5" t="str">
        <f>CENTRE_TEST!$I$66</f>
        <v>GLOBAL</v>
      </c>
      <c r="J66" s="5" t="str">
        <f>UPPER(TRIM(SUBSTITUTE(G66," ",""))) &amp; "|" &amp;
 UPPER(TRIM(SUBSTITUTE(H66," ",""))) &amp; "|" &amp;
 UPPER(TRIM(SUBSTITUTE(I66," ","")))</f>
        <v>ARRIVEE|AMANA|GLOBAL</v>
      </c>
      <c r="K66" s="19">
        <f>IFERROR(SUMIFS(INPUT_VOLUMES!$D:$D,INPUT_VOLUMES!$A:$A,$G66,INPUT_VOLUMES!$B:$B,$H66,INPUT_VOLUMES!$C:$C,$I66),0)</f>
        <v>50000</v>
      </c>
      <c r="L66" s="19">
        <f>K66/PARAMS!$B$2</f>
        <v>189.39393939393941</v>
      </c>
      <c r="M66" s="19">
        <f>IF(F66="Sac",
   L66 / PARAMS!$B$6,
   L66
)</f>
        <v>189.39393939393941</v>
      </c>
      <c r="N66" s="19">
        <f>IFERROR(INDEX(CENTRE_TEST!$L:$L,MATCH(P66,CENTRE_TEST!$M:$M,0)),0)</f>
        <v>0.16</v>
      </c>
      <c r="O66" s="19">
        <f>IFERROR(
   M66 * (N66/60) * (PARAMS!$B$5 / 100),
0)</f>
        <v>0.50505050505050508</v>
      </c>
      <c r="P66" s="10" t="str">
        <f t="shared" si="0"/>
        <v>RÉCEPTION</v>
      </c>
    </row>
    <row r="67" spans="1:16" x14ac:dyDescent="0.3">
      <c r="A67" s="5">
        <v>5031</v>
      </c>
      <c r="B67" s="5">
        <v>75</v>
      </c>
      <c r="C67" s="16">
        <v>8286</v>
      </c>
      <c r="D67" s="10" t="s">
        <v>141</v>
      </c>
      <c r="E67" s="10" t="s">
        <v>96</v>
      </c>
      <c r="F67" s="10" t="s">
        <v>74</v>
      </c>
      <c r="G67" s="5" t="str">
        <f>IFERROR(INDEX(code!$B$10:$B$13, MATCH(CENTRE_TEST!$E$67, code!$A$10:$A$13, 0)), "")</f>
        <v>ARRIVEE</v>
      </c>
      <c r="H67" s="5" t="s">
        <v>26</v>
      </c>
      <c r="I67" s="5" t="str">
        <f>CENTRE_TEST!$I$67</f>
        <v>GLOBAL</v>
      </c>
      <c r="J67" s="5" t="str">
        <f>UPPER(TRIM(SUBSTITUTE(G67," ",""))) &amp; "|" &amp;
 UPPER(TRIM(SUBSTITUTE(H67," ",""))) &amp; "|" &amp;
 UPPER(TRIM(SUBSTITUTE(I67," ","")))</f>
        <v>ARRIVEE|CO|GLOBAL</v>
      </c>
      <c r="K67" s="19">
        <f>IFERROR(SUMIFS(INPUT_VOLUMES!$D:$D,INPUT_VOLUMES!$A:$A,$G67,INPUT_VOLUMES!$B:$B,$H67,INPUT_VOLUMES!$C:$C,$I67),0)</f>
        <v>6000</v>
      </c>
      <c r="L67" s="19">
        <f>K67/PARAMS!$B$2</f>
        <v>22.727272727272727</v>
      </c>
      <c r="M67" s="19">
        <f>IF(F67="Sac",
   L67 / PARAMS!$B$6,
   L67
)</f>
        <v>22.727272727272727</v>
      </c>
      <c r="N67" s="19">
        <f>IFERROR(INDEX(CENTRE_TEST!$L:$L,MATCH(P67,CENTRE_TEST!$M:$M,0)),0)</f>
        <v>0.38333333333333303</v>
      </c>
      <c r="O67" s="19">
        <f>IFERROR(
   M67 * (N67/60) * (PARAMS!$B$5 / 100),
0)</f>
        <v>0.14520202020202008</v>
      </c>
      <c r="P67" s="10" t="str">
        <f>UPPER(TRIM(SUBSTITUTE(SUBSTITUTE(E67,CHAR(10)," "),CHAR(13)," ")))</f>
        <v>RENSEIGNEMENT POIDS EN MANUEL</v>
      </c>
    </row>
    <row r="68" spans="1:16" x14ac:dyDescent="0.3">
      <c r="A68" s="5">
        <v>5032</v>
      </c>
      <c r="B68" s="5">
        <v>76</v>
      </c>
      <c r="C68" s="16">
        <v>8286</v>
      </c>
      <c r="D68" s="10" t="s">
        <v>141</v>
      </c>
      <c r="E68" s="10" t="s">
        <v>97</v>
      </c>
      <c r="F68" s="10" t="s">
        <v>74</v>
      </c>
      <c r="G68" s="5" t="str">
        <f>IFERROR(INDEX(code!$B$10:$B$13, MATCH(CENTRE_TEST!$E$68, code!$A$10:$A$13, 0)), "")</f>
        <v>ARRIVEE</v>
      </c>
      <c r="H68" s="5" t="s">
        <v>26</v>
      </c>
      <c r="I68" s="5" t="str">
        <f>CENTRE_TEST!$I$68</f>
        <v>GLOBAL</v>
      </c>
      <c r="J68" s="5" t="str">
        <f>UPPER(TRIM(SUBSTITUTE(G68," ",""))) &amp; "|" &amp;
 UPPER(TRIM(SUBSTITUTE(H68," ",""))) &amp; "|" &amp;
 UPPER(TRIM(SUBSTITUTE(I68," ","")))</f>
        <v>ARRIVEE|CO|GLOBAL</v>
      </c>
      <c r="K68" s="19">
        <f>IFERROR(SUMIFS(INPUT_VOLUMES!$D:$D,INPUT_VOLUMES!$A:$A,$G68,INPUT_VOLUMES!$B:$B,$H68,INPUT_VOLUMES!$C:$C,$I68),0)</f>
        <v>6000</v>
      </c>
      <c r="L68" s="19">
        <f>K68/PARAMS!$B$2</f>
        <v>22.727272727272727</v>
      </c>
      <c r="M68" s="19">
        <f>IF(F68="Sac",
   L68 / PARAMS!$B$6,
   L68
)</f>
        <v>22.727272727272727</v>
      </c>
      <c r="N68" s="19" t="str">
        <f>IFERROR(INDEX(CENTRE_TEST!$L:$L,MATCH(P68,CENTRE_TEST!$M:$M,0)),0)</f>
        <v>NULL</v>
      </c>
      <c r="O68" s="19">
        <f>IFERROR(
   M68 * (N68/60) * (PARAMS!$B$5 / 100),
0)</f>
        <v>0</v>
      </c>
      <c r="P68" s="10" t="str">
        <f t="shared" ref="P68:P70" si="1">UPPER(TRIM(SUBSTITUTE(SUBSTITUTE(E68,CHAR(10)," "),CHAR(13)," ")))</f>
        <v>SAISIE DONNÉES SUR SI COM</v>
      </c>
    </row>
    <row r="69" spans="1:16" x14ac:dyDescent="0.3">
      <c r="A69" s="5">
        <v>5033</v>
      </c>
      <c r="B69" s="5">
        <v>77</v>
      </c>
      <c r="C69" s="16">
        <v>8286</v>
      </c>
      <c r="D69" s="10" t="s">
        <v>141</v>
      </c>
      <c r="E69" s="10" t="s">
        <v>100</v>
      </c>
      <c r="F69" s="10" t="s">
        <v>74</v>
      </c>
      <c r="G69" s="5" t="str">
        <f>IFERROR(INDEX(code!$B$10:$B$13, MATCH(CENTRE_TEST!$E$69, code!$A$10:$A$13, 0)), "")</f>
        <v>ARRIVEE</v>
      </c>
      <c r="H69" s="5" t="s">
        <v>26</v>
      </c>
      <c r="I69" s="5" t="str">
        <f>CENTRE_TEST!$I$69</f>
        <v>GLOBAL</v>
      </c>
      <c r="J69" s="5" t="str">
        <f>UPPER(TRIM(SUBSTITUTE(G69," ",""))) &amp; "|" &amp;
 UPPER(TRIM(SUBSTITUTE(H69," ",""))) &amp; "|" &amp;
 UPPER(TRIM(SUBSTITUTE(I69," ","")))</f>
        <v>ARRIVEE|CO|GLOBAL</v>
      </c>
      <c r="K69" s="19">
        <f>IFERROR(SUMIFS(INPUT_VOLUMES!$D:$D,INPUT_VOLUMES!$A:$A,$G69,INPUT_VOLUMES!$B:$B,$H69,INPUT_VOLUMES!$C:$C,$I69),0)</f>
        <v>6000</v>
      </c>
      <c r="L69" s="19">
        <f>K69/PARAMS!$B$2</f>
        <v>22.727272727272727</v>
      </c>
      <c r="M69" s="19">
        <f>IF(F69="Sac",
   L69 / PARAMS!$B$6,
   L69
)</f>
        <v>22.727272727272727</v>
      </c>
      <c r="N69" s="19" t="str">
        <f>IFERROR(INDEX(CENTRE_TEST!$L:$L,MATCH(P69,CENTRE_TEST!$M:$M,0)),0)</f>
        <v>NULL</v>
      </c>
      <c r="O69" s="19">
        <f>IFERROR(
   M69 * (N69/60) * (PARAMS!$B$5 / 100),
0)</f>
        <v>0</v>
      </c>
      <c r="P69" s="10" t="str">
        <f t="shared" si="1"/>
        <v>ETAT DES EMBALLAGES</v>
      </c>
    </row>
    <row r="70" spans="1:16" x14ac:dyDescent="0.3">
      <c r="A70" s="5">
        <v>5034</v>
      </c>
      <c r="B70" s="5">
        <v>78</v>
      </c>
      <c r="C70" s="16">
        <v>8286</v>
      </c>
      <c r="D70" s="10" t="s">
        <v>141</v>
      </c>
      <c r="E70" s="10" t="s">
        <v>101</v>
      </c>
      <c r="F70" s="10" t="s">
        <v>74</v>
      </c>
      <c r="G70" s="5" t="str">
        <f>IFERROR(INDEX(code!$B$10:$B$13, MATCH(CENTRE_TEST!$E$70, code!$A$10:$A$13, 0)), "")</f>
        <v>ARRIVEE</v>
      </c>
      <c r="H70" s="5" t="s">
        <v>26</v>
      </c>
      <c r="I70" s="5" t="str">
        <f>CENTRE_TEST!$I$70</f>
        <v>GLOBAL</v>
      </c>
      <c r="J70" s="5" t="str">
        <f>UPPER(TRIM(SUBSTITUTE(G70," ",""))) &amp; "|" &amp;
 UPPER(TRIM(SUBSTITUTE(H70," ",""))) &amp; "|" &amp;
 UPPER(TRIM(SUBSTITUTE(I70," ","")))</f>
        <v>ARRIVEE|CO|GLOBAL</v>
      </c>
      <c r="K70" s="19">
        <f>IFERROR(SUMIFS(INPUT_VOLUMES!$D:$D,INPUT_VOLUMES!$A:$A,$G70,INPUT_VOLUMES!$B:$B,$H70,INPUT_VOLUMES!$C:$C,$I70),0)</f>
        <v>6000</v>
      </c>
      <c r="L70" s="19">
        <f>K70/PARAMS!$B$2</f>
        <v>22.727272727272727</v>
      </c>
      <c r="M70" s="19">
        <f>IF(F70="Sac",
   L70 / PARAMS!$B$6,
   L70
)</f>
        <v>22.727272727272727</v>
      </c>
      <c r="N70" s="19" t="str">
        <f>IFERROR(INDEX(CENTRE_TEST!$L:$L,MATCH(P70,CENTRE_TEST!$M:$M,0)),0)</f>
        <v>NULL</v>
      </c>
      <c r="O70" s="19">
        <f>IFERROR(
   M70 * (N70/60) * (PARAMS!$B$5 / 100),
0)</f>
        <v>0</v>
      </c>
      <c r="P70" s="10" t="str">
        <f t="shared" si="1"/>
        <v>ETAT REMIS AUX AGENTS GUICHET</v>
      </c>
    </row>
  </sheetData>
  <autoFilter ref="A1:P70" xr:uid="{00000000-0001-0000-0400-000000000000}">
    <filterColumn colId="3">
      <filters>
        <filter val="Agent opération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8671875" defaultRowHeight="14.4" x14ac:dyDescent="0.3"/>
  <cols>
    <col min="1" max="1" width="26" customWidth="1"/>
    <col min="2" max="2" width="55" customWidth="1"/>
  </cols>
  <sheetData>
    <row r="1" spans="1:2" ht="24" customHeight="1" x14ac:dyDescent="0.3">
      <c r="A1" s="4" t="s">
        <v>129</v>
      </c>
      <c r="B1" s="4" t="s">
        <v>1</v>
      </c>
    </row>
    <row r="2" spans="1:2" x14ac:dyDescent="0.3">
      <c r="A2" s="5" t="s">
        <v>130</v>
      </c>
      <c r="B2" s="9">
        <f>SUM(SIMULATION_CALC!$O:$O)</f>
        <v>42.125631313131308</v>
      </c>
    </row>
    <row r="3" spans="1:2" x14ac:dyDescent="0.3">
      <c r="A3" s="5" t="s">
        <v>131</v>
      </c>
      <c r="B3" s="9">
        <f>PARAMS!$B$3</f>
        <v>8</v>
      </c>
    </row>
    <row r="4" spans="1:2" x14ac:dyDescent="0.3">
      <c r="A4" s="5" t="s">
        <v>132</v>
      </c>
      <c r="B4" s="9">
        <f>PARAMS!$B$3-(PARAMS!$B$4/60)</f>
        <v>8</v>
      </c>
    </row>
    <row r="5" spans="1:2" x14ac:dyDescent="0.3">
      <c r="A5" s="5" t="s">
        <v>133</v>
      </c>
      <c r="B5" s="9">
        <f>B2 / B4</f>
        <v>5.2657039141414135</v>
      </c>
    </row>
    <row r="6" spans="1:2" x14ac:dyDescent="0.3">
      <c r="A6" s="5" t="s">
        <v>134</v>
      </c>
      <c r="B6" s="9">
        <f>ROUNDUP(B5,1)</f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PARAMS</vt:lpstr>
      <vt:lpstr>INPUT_VOLUMES</vt:lpstr>
      <vt:lpstr>Feuil1</vt:lpstr>
      <vt:lpstr>CENTRE_TEST</vt:lpstr>
      <vt:lpstr>POSTE_SUMMARY</vt:lpstr>
      <vt:lpstr>code</vt:lpstr>
      <vt:lpstr>SIMULATION_CALC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Asmae El Hammouch</cp:lastModifiedBy>
  <dcterms:created xsi:type="dcterms:W3CDTF">2025-12-31T16:06:00Z</dcterms:created>
  <dcterms:modified xsi:type="dcterms:W3CDTF">2026-01-04T19:47:46Z</dcterms:modified>
</cp:coreProperties>
</file>