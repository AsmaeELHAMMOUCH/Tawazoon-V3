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ourram\Documents\"/>
    </mc:Choice>
  </mc:AlternateContent>
  <xr:revisionPtr revIDLastSave="0" documentId="13_ncr:1_{AE14EB37-4565-4BD4-BC23-49B81E2416F4}" xr6:coauthVersionLast="47" xr6:coauthVersionMax="47" xr10:uidLastSave="{00000000-0000-0000-0000-000000000000}"/>
  <bookViews>
    <workbookView xWindow="-108" yWindow="-108" windowWidth="23256" windowHeight="12576" xr2:uid="{C1327369-B573-45C3-B537-FE46C0D5A3C9}"/>
  </bookViews>
  <sheets>
    <sheet name="CM, CCC, CTD,CD, CLD" sheetId="1" r:id="rId1"/>
  </sheets>
  <definedNames>
    <definedName name="_xlnm._FilterDatabase" localSheetId="0" hidden="1">'CM, CCC, CTD,CD, CLD'!$A$1:$J$198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137" authorId="0" shapeId="0" xr:uid="{D44A9CBE-C4EA-481A-ADCB-DA6B48C7789B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<sst xmlns="http://schemas.openxmlformats.org/spreadsheetml/2006/main" count="1020" uniqueCount="191">
  <si>
    <t>Guichetier</t>
  </si>
  <si>
    <t>colis</t>
  </si>
  <si>
    <t>Guichet</t>
  </si>
  <si>
    <t>AMANA Dépôt local</t>
  </si>
  <si>
    <t>international</t>
  </si>
  <si>
    <t>Opération guichet : Dépôt (international)</t>
  </si>
  <si>
    <t>Agent Traitement</t>
  </si>
  <si>
    <t>Etat Levée</t>
  </si>
  <si>
    <t xml:space="preserve"> AMANA Reçu local</t>
  </si>
  <si>
    <t>retour</t>
  </si>
  <si>
    <t>Opération guichet : Retrait</t>
  </si>
  <si>
    <t>national</t>
  </si>
  <si>
    <t>Opération guichet : Dépôt</t>
  </si>
  <si>
    <t>Passation Vs Guichet</t>
  </si>
  <si>
    <t>Agent traitement</t>
  </si>
  <si>
    <t>Remise avisés au guichet</t>
  </si>
  <si>
    <t>CHEF DE CENTRE PI</t>
  </si>
  <si>
    <t>Reporting</t>
  </si>
  <si>
    <t>AMANA Dépôt</t>
  </si>
  <si>
    <t>Edition Factures en fin de moi</t>
  </si>
  <si>
    <t xml:space="preserve">Suvi des dépots du mois </t>
  </si>
  <si>
    <t>Suivi de recouvrement</t>
  </si>
  <si>
    <t>Sac</t>
  </si>
  <si>
    <t>Départ Camion Principal</t>
  </si>
  <si>
    <t>Chargement départ</t>
  </si>
  <si>
    <t>Préparation colis pour chargement</t>
  </si>
  <si>
    <t>Expédition</t>
  </si>
  <si>
    <t>Renseignement envoie sur registre</t>
  </si>
  <si>
    <t>Impression borderau</t>
  </si>
  <si>
    <t>Contrôle</t>
  </si>
  <si>
    <t>Edition PART</t>
  </si>
  <si>
    <t>Impression manifeste 101</t>
  </si>
  <si>
    <t>Envoi vers application des parts</t>
  </si>
  <si>
    <t>Saisi Sur SI</t>
  </si>
  <si>
    <t>Saisi sur excel</t>
  </si>
  <si>
    <t>Ecriture nbre colis à envoyer</t>
  </si>
  <si>
    <t>Ecriture n° dépêches</t>
  </si>
  <si>
    <t>Numérotage</t>
  </si>
  <si>
    <t>Fermeture sac</t>
  </si>
  <si>
    <t>Mise en sac</t>
  </si>
  <si>
    <t>Classement en cabine instance</t>
  </si>
  <si>
    <t>Courrier</t>
  </si>
  <si>
    <t>CR Arrivé local</t>
  </si>
  <si>
    <t>Opération guichet  : Retrait</t>
  </si>
  <si>
    <t>Création dépeche</t>
  </si>
  <si>
    <t>CR MED local</t>
  </si>
  <si>
    <t>Arrivée Camions Axes</t>
  </si>
  <si>
    <t>AMANA Dépôt Axes</t>
  </si>
  <si>
    <t>Tri par Destination</t>
  </si>
  <si>
    <t>CHARGÉ REPORTING ET QUALITÉ</t>
  </si>
  <si>
    <t>Clôture</t>
  </si>
  <si>
    <t>CR local</t>
  </si>
  <si>
    <t xml:space="preserve">Bouclage des operations </t>
  </si>
  <si>
    <t>Scan &amp; Réception SI</t>
  </si>
  <si>
    <t>Caisson</t>
  </si>
  <si>
    <t>CR MED</t>
  </si>
  <si>
    <t>Préparation pour chargement</t>
  </si>
  <si>
    <t>Rapprochement entre physique et Documents</t>
  </si>
  <si>
    <t>Comptage Colis</t>
  </si>
  <si>
    <t>Ouverture Sac</t>
  </si>
  <si>
    <t>CONTRÔLEUR OPÉRATIONS</t>
  </si>
  <si>
    <t>Manutentionnaire</t>
  </si>
  <si>
    <t>Chant et pointage</t>
  </si>
  <si>
    <t>Colis</t>
  </si>
  <si>
    <t>Déchargement Camions Axes</t>
  </si>
  <si>
    <t>Collecte</t>
  </si>
  <si>
    <t xml:space="preserve">Taxation : Saisie excel - Création FIM - Saisie </t>
  </si>
  <si>
    <t>Ecriture nbre courrier  à envoyer</t>
  </si>
  <si>
    <t xml:space="preserve">Confirmation réception  Saisie colis par colis </t>
  </si>
  <si>
    <t>Confirmation réception  Création FIM</t>
  </si>
  <si>
    <t>Confirmation réception  Saisie excel</t>
  </si>
  <si>
    <t>Fermeture Bac</t>
  </si>
  <si>
    <t xml:space="preserve">Confirmation réception  scan (masse ) </t>
  </si>
  <si>
    <t>Facteur</t>
  </si>
  <si>
    <t>CO local</t>
  </si>
  <si>
    <t>day_350</t>
  </si>
  <si>
    <t>Mise en Bac</t>
  </si>
  <si>
    <t>Correction et rajout poids</t>
  </si>
  <si>
    <t>CO MED</t>
  </si>
  <si>
    <t>Pesée</t>
  </si>
  <si>
    <t>CR MED Axes</t>
  </si>
  <si>
    <t>Préparation  part 116</t>
  </si>
  <si>
    <t>Déchargement Camions Collecte</t>
  </si>
  <si>
    <t>Facteur Marche Ordinaire</t>
  </si>
  <si>
    <t>Marche Ordinaire</t>
  </si>
  <si>
    <t>circul_march</t>
  </si>
  <si>
    <t>Collecte colis</t>
  </si>
  <si>
    <t>Facteur Collecteur</t>
  </si>
  <si>
    <t>circul_collect</t>
  </si>
  <si>
    <t>CO MED local</t>
  </si>
  <si>
    <t>Facteur Conducteur</t>
  </si>
  <si>
    <t>Distribution Locale</t>
  </si>
  <si>
    <t>Etat argent CRBT</t>
  </si>
  <si>
    <t>Tri par destination</t>
  </si>
  <si>
    <t>Ouverture Bac à Distribuer sur centre</t>
  </si>
  <si>
    <t>Etats non distribué</t>
  </si>
  <si>
    <t>Affectation au guichet ( Non distribués)</t>
  </si>
  <si>
    <t>Réception colis avisé sur  SI COM</t>
  </si>
  <si>
    <t>Retour info facteur</t>
  </si>
  <si>
    <t>Dépeche</t>
  </si>
  <si>
    <t>Déchargement Facteur</t>
  </si>
  <si>
    <t>Part</t>
  </si>
  <si>
    <t>Préparation  part 115</t>
  </si>
  <si>
    <t>circul_geo</t>
  </si>
  <si>
    <t>Distribution</t>
  </si>
  <si>
    <t>Facteur Distributeur</t>
  </si>
  <si>
    <t>retour info facteur</t>
  </si>
  <si>
    <t>CO MED Axes</t>
  </si>
  <si>
    <t>International</t>
  </si>
  <si>
    <t>Appel Client</t>
  </si>
  <si>
    <t>Contrôle facteurs Avant Départ</t>
  </si>
  <si>
    <t>Chargement Facteur</t>
  </si>
  <si>
    <t>Oblitération</t>
  </si>
  <si>
    <t>Impression DNL</t>
  </si>
  <si>
    <t>Tri Par tournée</t>
  </si>
  <si>
    <t>CO Arrivé local</t>
  </si>
  <si>
    <t>retour_day_350</t>
  </si>
  <si>
    <t>Passation avec Facteur CR</t>
  </si>
  <si>
    <t>Passation Avec Controleur</t>
  </si>
  <si>
    <t>Affectation aux  Facteurs</t>
  </si>
  <si>
    <t>Agent taxation</t>
  </si>
  <si>
    <t>Guichet Pro</t>
  </si>
  <si>
    <t>Taxation</t>
  </si>
  <si>
    <t>Affectation Colis Facteurs</t>
  </si>
  <si>
    <t>Tri par Facteur CR (Cabine de Chargement)</t>
  </si>
  <si>
    <t>Tri Général (Par secteur)</t>
  </si>
  <si>
    <t>Reception courriers en Salle de facteurs</t>
  </si>
  <si>
    <t>Scan retour vagumestre</t>
  </si>
  <si>
    <t>Envoi details colis à distribuer</t>
  </si>
  <si>
    <t xml:space="preserve">Arrivée Camion Principal </t>
  </si>
  <si>
    <t>Ouverture Bac</t>
  </si>
  <si>
    <t>Passation avec Facteur CO</t>
  </si>
  <si>
    <t xml:space="preserve">Agent Operations </t>
  </si>
  <si>
    <t>Passation sur Registre</t>
  </si>
  <si>
    <t>Notification envoi avisé client boite postale</t>
  </si>
  <si>
    <t>Tri &amp; Répartition entre : PP, GP</t>
  </si>
  <si>
    <t>AGENT MAC ET MAG</t>
  </si>
  <si>
    <t>Récupération facture MAG</t>
  </si>
  <si>
    <t>Affectation : Avisé, Abonné, Vaguemaster …</t>
  </si>
  <si>
    <t xml:space="preserve">Ouverture sac </t>
  </si>
  <si>
    <t>Départ Axes</t>
  </si>
  <si>
    <t>CR Arrivé Axes</t>
  </si>
  <si>
    <t>Chargement VAN axe</t>
  </si>
  <si>
    <t xml:space="preserve"> AMANA Reçu Axes</t>
  </si>
  <si>
    <t>E barkia Arrivé</t>
  </si>
  <si>
    <t>day_24</t>
  </si>
  <si>
    <t>Retour info e-barkia (J+1)</t>
  </si>
  <si>
    <t>Tri par Facteur CO (Salle des facteurs)</t>
  </si>
  <si>
    <t>Préparation chargement camion départ axes</t>
  </si>
  <si>
    <t>LRH Arrivé</t>
  </si>
  <si>
    <t>Retour info LRH  (J+1)</t>
  </si>
  <si>
    <t>Signature part  et départ axe</t>
  </si>
  <si>
    <t>Affranchissement</t>
  </si>
  <si>
    <t>Distribution  e-barkia</t>
  </si>
  <si>
    <t>Distribution LRH</t>
  </si>
  <si>
    <t>Saisie données sur SI COM</t>
  </si>
  <si>
    <t>Renseignement part</t>
  </si>
  <si>
    <t>CO Arrivé Axes</t>
  </si>
  <si>
    <t>Timbre à date e-barkia</t>
  </si>
  <si>
    <t>Renseignement poids en manuel</t>
  </si>
  <si>
    <t>Mise en enveloppe LRH</t>
  </si>
  <si>
    <t>Mise en enveloppe  e-barkia</t>
  </si>
  <si>
    <t>CR Arrivé</t>
  </si>
  <si>
    <t>Tri entre à distribuer  et à expédier vers axes</t>
  </si>
  <si>
    <t xml:space="preserve"> AMANA Reçu</t>
  </si>
  <si>
    <t>Réception</t>
  </si>
  <si>
    <t>Affectation LRH</t>
  </si>
  <si>
    <t>Affectation e-barkia</t>
  </si>
  <si>
    <t>Traitement sur la machine MAG (Affranchissement)</t>
  </si>
  <si>
    <t>Tri LRH</t>
  </si>
  <si>
    <t>Tri e-barkia</t>
  </si>
  <si>
    <t>Pesage Courrier</t>
  </si>
  <si>
    <t>CO Arrivé</t>
  </si>
  <si>
    <t>Impression LRH</t>
  </si>
  <si>
    <t>Impression e-barkia</t>
  </si>
  <si>
    <t>Mise en service</t>
  </si>
  <si>
    <t>Chant et Pointage</t>
  </si>
  <si>
    <t>Acquittement LRH</t>
  </si>
  <si>
    <t>Acquittement e-barkia</t>
  </si>
  <si>
    <t>Démarrage Machine</t>
  </si>
  <si>
    <t>Déchargement camion Principal</t>
  </si>
  <si>
    <t>Temps_sec</t>
  </si>
  <si>
    <t>Temps_min</t>
  </si>
  <si>
    <t>Responsable 2</t>
  </si>
  <si>
    <t>Responsable 1</t>
  </si>
  <si>
    <t>base_calcul</t>
  </si>
  <si>
    <t>Unité de mesure</t>
  </si>
  <si>
    <t>Famille</t>
  </si>
  <si>
    <t>Produit</t>
  </si>
  <si>
    <t>Phase</t>
  </si>
  <si>
    <t>Nom de tâche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</si>
</sst>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164" fontId="2" fillId="2" borderId="1" xfId="1" applyNumberFormat="1" applyFont="1" applyFill="1" applyBorder="1"/>
    <xf numFmtId="164" fontId="2" fillId="2" borderId="0" xfId="1" applyNumberFormat="1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164" fontId="2" fillId="0" borderId="1" xfId="1" applyNumberFormat="1" applyFont="1" applyFill="1" applyBorder="1"/>
    <xf numFmtId="43" fontId="2" fillId="0" borderId="1" xfId="1" applyFont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3" borderId="1" xfId="1" applyNumberFormat="1" applyFont="1" applyFill="1" applyBorder="1"/>
    <xf numFmtId="9" fontId="2" fillId="0" borderId="2" xfId="0" applyNumberFormat="1" applyFont="1" applyBorder="1" applyAlignment="1">
      <alignment horizontal="center"/>
    </xf>
    <xf numFmtId="164" fontId="3" fillId="4" borderId="1" xfId="2" applyNumberFormat="1" applyFont="1" applyFill="1" applyBorder="1" applyAlignment="1">
      <alignment horizontal="center" vertical="center"/>
    </xf>
    <xf numFmtId="164" fontId="2" fillId="0" borderId="1" xfId="1" applyNumberFormat="1" applyFont="1" applyBorder="1"/>
    <xf numFmtId="164" fontId="2" fillId="5" borderId="1" xfId="1" applyNumberFormat="1" applyFont="1" applyFill="1" applyBorder="1"/>
    <xf numFmtId="0" fontId="2" fillId="6" borderId="1" xfId="0" applyFont="1" applyFill="1" applyBorder="1"/>
    <xf numFmtId="9" fontId="2" fillId="0" borderId="3" xfId="0" applyNumberFormat="1" applyFont="1" applyBorder="1" applyAlignment="1">
      <alignment horizontal="center"/>
    </xf>
    <xf numFmtId="43" fontId="2" fillId="2" borderId="1" xfId="1" applyFont="1" applyFill="1" applyBorder="1"/>
    <xf numFmtId="9" fontId="2" fillId="2" borderId="2" xfId="0" applyNumberFormat="1" applyFont="1" applyFill="1" applyBorder="1" applyAlignment="1">
      <alignment horizontal="center"/>
    </xf>
    <xf numFmtId="164" fontId="2" fillId="6" borderId="1" xfId="1" applyNumberFormat="1" applyFont="1" applyFill="1" applyBorder="1"/>
    <xf numFmtId="43" fontId="2" fillId="6" borderId="1" xfId="1" applyFont="1" applyFill="1" applyBorder="1"/>
    <xf numFmtId="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43" fontId="2" fillId="0" borderId="1" xfId="1" applyFont="1" applyFill="1" applyBorder="1"/>
    <xf numFmtId="0" fontId="2" fillId="7" borderId="1" xfId="0" applyFont="1" applyFill="1" applyBorder="1" applyAlignment="1">
      <alignment horizontal="left" vertical="center"/>
    </xf>
    <xf numFmtId="9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5" borderId="1" xfId="0" applyFont="1" applyFill="1" applyBorder="1"/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/>
    <xf numFmtId="164" fontId="2" fillId="10" borderId="1" xfId="1" applyNumberFormat="1" applyFont="1" applyFill="1" applyBorder="1"/>
    <xf numFmtId="43" fontId="2" fillId="10" borderId="1" xfId="1" applyFont="1" applyFill="1" applyBorder="1"/>
    <xf numFmtId="0" fontId="2" fillId="10" borderId="1" xfId="0" applyFont="1" applyFill="1" applyBorder="1"/>
    <xf numFmtId="9" fontId="2" fillId="10" borderId="2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0" xfId="0" applyFill="1"/>
    <xf numFmtId="0" fontId="2" fillId="10" borderId="1" xfId="0" applyFont="1" applyFill="1" applyBorder="1" applyAlignment="1">
      <alignment horizontal="left" vertical="center"/>
    </xf>
    <xf numFmtId="9" fontId="2" fillId="0" borderId="0" xfId="0" applyNumberFormat="1" applyFont="1" applyAlignment="1">
      <alignment horizontal="center"/>
    </xf>
    <xf numFmtId="164" fontId="2" fillId="3" borderId="0" xfId="1" applyNumberFormat="1" applyFont="1" applyFill="1" applyBorder="1"/>
    <xf numFmtId="0" fontId="0" fillId="11" borderId="1" xfId="0" applyFill="1" applyBorder="1"/>
    <xf numFmtId="0" fontId="2" fillId="12" borderId="1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</cellXfs>
  <cellStyles count="3">
    <cellStyle name="Milliers" xfId="1" builtinId="3"/>
    <cellStyle name="Milliers 2" xfId="2" xr:uid="{CA112809-0870-44DA-93D8-D7CA0AE8A78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BB69-A672-4FB0-845B-B439F0A8BC0B}">
  <dimension ref="A1:J198"/>
  <sheetViews>
    <sheetView tabSelected="1" topLeftCell="A7" workbookViewId="0">
      <selection activeCell="A31" sqref="A31"/>
    </sheetView>
  </sheetViews>
  <sheetFormatPr baseColWidth="10" defaultRowHeight="14.4" x14ac:dyDescent="0.3"/>
  <cols>
    <col min="1" max="1" width="36.5546875" bestFit="1" customWidth="1"/>
    <col min="2" max="2" width="14" bestFit="1" customWidth="1"/>
    <col min="3" max="3" width="14.44140625" bestFit="1" customWidth="1"/>
    <col min="4" max="4" width="18.21875" bestFit="1" customWidth="1"/>
    <col min="7" max="7" width="22.77734375" bestFit="1" customWidth="1"/>
    <col min="8" max="8" width="14.5546875" bestFit="1" customWidth="1"/>
  </cols>
  <sheetData>
    <row r="1" spans="1:10" x14ac:dyDescent="0.3">
      <c r="A1" t="s">
        <v>190</v>
      </c>
      <c r="B1" t="s">
        <v>189</v>
      </c>
      <c r="C1" t="s">
        <v>188</v>
      </c>
      <c r="D1" t="s">
        <v>187</v>
      </c>
      <c r="E1" t="s">
        <v>186</v>
      </c>
      <c r="F1" t="s">
        <v>185</v>
      </c>
      <c r="G1" t="s">
        <v>184</v>
      </c>
      <c r="H1" t="s">
        <v>183</v>
      </c>
      <c r="I1" t="s">
        <v>182</v>
      </c>
      <c r="J1" t="s">
        <v>181</v>
      </c>
    </row>
    <row r="2" spans="1:10" x14ac:dyDescent="0.3">
      <c r="A2" s="13" t="s">
        <v>180</v>
      </c>
      <c r="C2" s="6" t="s">
        <v>172</v>
      </c>
      <c r="D2" s="10" t="s">
        <v>129</v>
      </c>
      <c r="E2" s="10" t="s">
        <v>22</v>
      </c>
      <c r="F2" s="42">
        <v>1</v>
      </c>
      <c r="G2" s="10" t="s">
        <v>61</v>
      </c>
      <c r="H2" s="10"/>
      <c r="I2" s="9">
        <f>+J2/60</f>
        <v>1</v>
      </c>
      <c r="J2" s="14">
        <v>60</v>
      </c>
    </row>
    <row r="3" spans="1:10" x14ac:dyDescent="0.3">
      <c r="A3" s="13" t="s">
        <v>180</v>
      </c>
      <c r="C3" s="16" t="s">
        <v>162</v>
      </c>
      <c r="D3" s="10" t="s">
        <v>129</v>
      </c>
      <c r="E3" s="10" t="s">
        <v>41</v>
      </c>
      <c r="F3" s="12">
        <v>0.4</v>
      </c>
      <c r="G3" s="10" t="s">
        <v>61</v>
      </c>
      <c r="H3" s="10"/>
      <c r="I3" s="9">
        <f>+J3/60</f>
        <v>0.23497630331753552</v>
      </c>
      <c r="J3" s="14">
        <v>14.098578199052131</v>
      </c>
    </row>
    <row r="4" spans="1:10" x14ac:dyDescent="0.3">
      <c r="A4" s="13" t="s">
        <v>180</v>
      </c>
      <c r="C4" s="16" t="s">
        <v>162</v>
      </c>
      <c r="D4" s="10" t="s">
        <v>129</v>
      </c>
      <c r="E4" s="10" t="s">
        <v>54</v>
      </c>
      <c r="F4" s="12">
        <v>0.6</v>
      </c>
      <c r="G4" s="10" t="s">
        <v>61</v>
      </c>
      <c r="H4" s="10"/>
      <c r="I4" s="9">
        <f>+J4/60</f>
        <v>0.23497630331753552</v>
      </c>
      <c r="J4" s="14">
        <v>14.098578199052131</v>
      </c>
    </row>
    <row r="5" spans="1:10" x14ac:dyDescent="0.3">
      <c r="A5" s="13" t="s">
        <v>180</v>
      </c>
      <c r="C5" s="6" t="s">
        <v>164</v>
      </c>
      <c r="D5" s="10" t="s">
        <v>129</v>
      </c>
      <c r="E5" s="10" t="s">
        <v>63</v>
      </c>
      <c r="F5" s="15">
        <v>0.4</v>
      </c>
      <c r="G5" s="11" t="s">
        <v>61</v>
      </c>
      <c r="H5" s="10"/>
      <c r="I5" s="9">
        <f>+J5/60</f>
        <v>0.23497630331753552</v>
      </c>
      <c r="J5" s="8">
        <v>14.098578199052131</v>
      </c>
    </row>
    <row r="6" spans="1:10" x14ac:dyDescent="0.3">
      <c r="A6" s="13" t="s">
        <v>180</v>
      </c>
      <c r="C6" s="6" t="s">
        <v>164</v>
      </c>
      <c r="D6" s="10" t="s">
        <v>129</v>
      </c>
      <c r="E6" s="10" t="s">
        <v>22</v>
      </c>
      <c r="F6" s="15">
        <v>0.6</v>
      </c>
      <c r="G6" s="11" t="s">
        <v>61</v>
      </c>
      <c r="H6" s="10"/>
      <c r="I6" s="9">
        <f>+J6/60</f>
        <v>0.23497630331753552</v>
      </c>
      <c r="J6" s="8">
        <v>14.098578199052131</v>
      </c>
    </row>
    <row r="7" spans="1:10" x14ac:dyDescent="0.3">
      <c r="A7" s="13" t="s">
        <v>179</v>
      </c>
      <c r="C7" s="6"/>
      <c r="D7" s="10" t="s">
        <v>121</v>
      </c>
      <c r="E7" s="10" t="s">
        <v>41</v>
      </c>
      <c r="F7" s="47"/>
      <c r="G7" s="6" t="s">
        <v>136</v>
      </c>
      <c r="H7" s="10"/>
      <c r="I7" s="9">
        <f>+J7/60</f>
        <v>0.16666666666666666</v>
      </c>
      <c r="J7" s="18">
        <v>10</v>
      </c>
    </row>
    <row r="8" spans="1:10" x14ac:dyDescent="0.3">
      <c r="A8" s="13" t="s">
        <v>178</v>
      </c>
      <c r="C8" s="6" t="s">
        <v>144</v>
      </c>
      <c r="D8" s="10" t="s">
        <v>91</v>
      </c>
      <c r="E8" s="10" t="s">
        <v>41</v>
      </c>
      <c r="F8" s="42">
        <v>1</v>
      </c>
      <c r="G8" s="10" t="s">
        <v>105</v>
      </c>
      <c r="H8" s="10"/>
      <c r="I8" s="9">
        <f>+J8/60</f>
        <v>1.6666666666666666E-2</v>
      </c>
      <c r="J8" s="44">
        <v>1</v>
      </c>
    </row>
    <row r="9" spans="1:10" x14ac:dyDescent="0.3">
      <c r="A9" s="13" t="s">
        <v>177</v>
      </c>
      <c r="C9" s="16" t="s">
        <v>149</v>
      </c>
      <c r="D9" s="10" t="s">
        <v>91</v>
      </c>
      <c r="E9" s="10" t="s">
        <v>41</v>
      </c>
      <c r="F9" s="20">
        <v>1</v>
      </c>
      <c r="G9" s="10" t="s">
        <v>105</v>
      </c>
      <c r="H9" s="10"/>
      <c r="I9" s="9">
        <f>+J9/60</f>
        <v>3.3333333333333333E-2</v>
      </c>
      <c r="J9" s="44">
        <v>2</v>
      </c>
    </row>
    <row r="10" spans="1:10" x14ac:dyDescent="0.3">
      <c r="A10" s="13" t="s">
        <v>176</v>
      </c>
      <c r="C10" s="6" t="s">
        <v>172</v>
      </c>
      <c r="D10" s="10" t="s">
        <v>129</v>
      </c>
      <c r="E10" s="10" t="s">
        <v>22</v>
      </c>
      <c r="F10" s="12">
        <v>1</v>
      </c>
      <c r="G10" s="10" t="s">
        <v>61</v>
      </c>
      <c r="H10" s="10"/>
      <c r="I10" s="9">
        <f>+J10/60</f>
        <v>0.75</v>
      </c>
      <c r="J10" s="14">
        <v>45</v>
      </c>
    </row>
    <row r="11" spans="1:10" x14ac:dyDescent="0.3">
      <c r="A11" s="13" t="s">
        <v>176</v>
      </c>
      <c r="C11" s="6" t="s">
        <v>164</v>
      </c>
      <c r="D11" s="10" t="s">
        <v>129</v>
      </c>
      <c r="E11" s="10" t="s">
        <v>63</v>
      </c>
      <c r="F11" s="20">
        <v>0.4</v>
      </c>
      <c r="G11" s="11" t="s">
        <v>61</v>
      </c>
      <c r="H11" s="10"/>
      <c r="I11" s="9">
        <f>+J11/60</f>
        <v>0.13333333333333333</v>
      </c>
      <c r="J11" s="8">
        <v>8</v>
      </c>
    </row>
    <row r="12" spans="1:10" x14ac:dyDescent="0.3">
      <c r="A12" s="13" t="s">
        <v>176</v>
      </c>
      <c r="C12" s="6" t="s">
        <v>164</v>
      </c>
      <c r="D12" s="10" t="s">
        <v>129</v>
      </c>
      <c r="E12" s="10" t="s">
        <v>22</v>
      </c>
      <c r="F12" s="12">
        <v>0.6</v>
      </c>
      <c r="G12" s="11" t="s">
        <v>61</v>
      </c>
      <c r="H12" s="10"/>
      <c r="I12" s="9">
        <f>+J12/60</f>
        <v>0.13333333333333333</v>
      </c>
      <c r="J12" s="8">
        <v>8</v>
      </c>
    </row>
    <row r="13" spans="1:10" x14ac:dyDescent="0.3">
      <c r="A13" s="13" t="s">
        <v>176</v>
      </c>
      <c r="C13" s="16" t="s">
        <v>162</v>
      </c>
      <c r="D13" s="10" t="s">
        <v>129</v>
      </c>
      <c r="E13" s="10" t="s">
        <v>41</v>
      </c>
      <c r="F13" s="12">
        <v>0.4</v>
      </c>
      <c r="G13" s="10" t="s">
        <v>61</v>
      </c>
      <c r="H13" s="10"/>
      <c r="I13" s="9">
        <f>+J13/60</f>
        <v>0.13333333333333333</v>
      </c>
      <c r="J13" s="14">
        <v>8</v>
      </c>
    </row>
    <row r="14" spans="1:10" x14ac:dyDescent="0.3">
      <c r="A14" s="13" t="s">
        <v>176</v>
      </c>
      <c r="C14" s="16" t="s">
        <v>162</v>
      </c>
      <c r="D14" s="10" t="s">
        <v>129</v>
      </c>
      <c r="E14" s="10" t="s">
        <v>54</v>
      </c>
      <c r="F14" s="15">
        <v>0.6</v>
      </c>
      <c r="G14" s="10" t="s">
        <v>61</v>
      </c>
      <c r="H14" s="10"/>
      <c r="I14" s="9">
        <f>+J14/60</f>
        <v>0.13333333333333333</v>
      </c>
      <c r="J14" s="14">
        <v>8</v>
      </c>
    </row>
    <row r="15" spans="1:10" x14ac:dyDescent="0.3">
      <c r="A15" s="13" t="s">
        <v>175</v>
      </c>
      <c r="C15" s="16"/>
      <c r="D15" s="10" t="s">
        <v>121</v>
      </c>
      <c r="E15" s="10" t="s">
        <v>41</v>
      </c>
      <c r="F15" s="46"/>
      <c r="G15" s="6" t="s">
        <v>136</v>
      </c>
      <c r="H15" s="10"/>
      <c r="I15" s="9">
        <f>+J15/60</f>
        <v>0.16666666666666666</v>
      </c>
      <c r="J15" s="17">
        <v>10</v>
      </c>
    </row>
    <row r="16" spans="1:10" x14ac:dyDescent="0.3">
      <c r="A16" s="13" t="s">
        <v>174</v>
      </c>
      <c r="C16" s="6" t="s">
        <v>144</v>
      </c>
      <c r="D16" s="10" t="s">
        <v>91</v>
      </c>
      <c r="E16" s="10" t="s">
        <v>41</v>
      </c>
      <c r="F16" s="12">
        <v>1</v>
      </c>
      <c r="G16" s="10" t="s">
        <v>105</v>
      </c>
      <c r="H16" s="10"/>
      <c r="I16" s="9">
        <f>+J16/60</f>
        <v>1.6666666666666666E-2</v>
      </c>
      <c r="J16" s="14">
        <v>1</v>
      </c>
    </row>
    <row r="17" spans="1:10" x14ac:dyDescent="0.3">
      <c r="A17" s="13" t="s">
        <v>173</v>
      </c>
      <c r="C17" s="16" t="s">
        <v>149</v>
      </c>
      <c r="D17" s="10" t="s">
        <v>91</v>
      </c>
      <c r="E17" s="10" t="s">
        <v>41</v>
      </c>
      <c r="F17" s="42">
        <v>1</v>
      </c>
      <c r="G17" s="10" t="s">
        <v>105</v>
      </c>
      <c r="H17" s="10"/>
      <c r="I17" s="9">
        <f>+J17/60</f>
        <v>1.6666666666666666E-2</v>
      </c>
      <c r="J17" s="14">
        <v>1</v>
      </c>
    </row>
    <row r="18" spans="1:10" x14ac:dyDescent="0.3">
      <c r="A18" s="13" t="s">
        <v>163</v>
      </c>
      <c r="C18" s="6" t="s">
        <v>172</v>
      </c>
      <c r="D18" s="10" t="s">
        <v>129</v>
      </c>
      <c r="E18" s="34" t="s">
        <v>22</v>
      </c>
      <c r="F18" s="42">
        <v>1</v>
      </c>
      <c r="G18" s="11" t="s">
        <v>6</v>
      </c>
      <c r="H18" s="10"/>
      <c r="I18" s="9">
        <f>+J18/60</f>
        <v>3.3333333333333333E-2</v>
      </c>
      <c r="J18" s="17">
        <v>2</v>
      </c>
    </row>
    <row r="19" spans="1:10" x14ac:dyDescent="0.3">
      <c r="A19" s="13" t="s">
        <v>58</v>
      </c>
      <c r="C19" s="6" t="s">
        <v>164</v>
      </c>
      <c r="D19" s="10" t="s">
        <v>129</v>
      </c>
      <c r="E19" s="10" t="s">
        <v>63</v>
      </c>
      <c r="F19" s="15">
        <v>1</v>
      </c>
      <c r="G19" s="6" t="s">
        <v>14</v>
      </c>
      <c r="H19" s="10"/>
      <c r="I19" s="9">
        <f>+J19/60</f>
        <v>3.3333333333333333E-2</v>
      </c>
      <c r="J19" s="8">
        <v>2</v>
      </c>
    </row>
    <row r="20" spans="1:10" x14ac:dyDescent="0.3">
      <c r="A20" s="13" t="s">
        <v>58</v>
      </c>
      <c r="C20" s="16" t="s">
        <v>162</v>
      </c>
      <c r="D20" s="10" t="s">
        <v>129</v>
      </c>
      <c r="E20" s="10" t="s">
        <v>54</v>
      </c>
      <c r="F20" s="12">
        <v>0.6</v>
      </c>
      <c r="G20" s="6" t="s">
        <v>14</v>
      </c>
      <c r="H20" s="10"/>
      <c r="I20" s="9">
        <f>+J20/60</f>
        <v>3.3333333333333333E-2</v>
      </c>
      <c r="J20" s="18">
        <v>2</v>
      </c>
    </row>
    <row r="21" spans="1:10" x14ac:dyDescent="0.3">
      <c r="A21" s="13" t="s">
        <v>171</v>
      </c>
      <c r="C21" s="6"/>
      <c r="D21" s="10" t="s">
        <v>121</v>
      </c>
      <c r="E21" s="10" t="s">
        <v>41</v>
      </c>
      <c r="F21" s="6"/>
      <c r="G21" s="6" t="s">
        <v>136</v>
      </c>
      <c r="H21" s="10"/>
      <c r="I21" s="9">
        <f>+J21/60</f>
        <v>0.11666666666666667</v>
      </c>
      <c r="J21" s="32">
        <v>7</v>
      </c>
    </row>
    <row r="22" spans="1:10" x14ac:dyDescent="0.3">
      <c r="A22" s="13" t="s">
        <v>170</v>
      </c>
      <c r="C22" s="6" t="s">
        <v>144</v>
      </c>
      <c r="D22" s="10" t="s">
        <v>91</v>
      </c>
      <c r="E22" s="10" t="s">
        <v>41</v>
      </c>
      <c r="F22" s="12">
        <v>1</v>
      </c>
      <c r="G22" s="10" t="s">
        <v>105</v>
      </c>
      <c r="H22" s="10"/>
      <c r="I22" s="9">
        <f>+J22/60</f>
        <v>1.6666666666666666E-2</v>
      </c>
      <c r="J22" s="14">
        <v>1</v>
      </c>
    </row>
    <row r="23" spans="1:10" x14ac:dyDescent="0.3">
      <c r="A23" s="13" t="s">
        <v>169</v>
      </c>
      <c r="C23" s="16" t="s">
        <v>149</v>
      </c>
      <c r="D23" s="10" t="s">
        <v>91</v>
      </c>
      <c r="E23" s="10" t="s">
        <v>41</v>
      </c>
      <c r="F23" s="42">
        <v>1</v>
      </c>
      <c r="G23" s="10" t="s">
        <v>105</v>
      </c>
      <c r="H23" s="10"/>
      <c r="I23" s="9">
        <f>+J23/60</f>
        <v>1.6666666666666666E-2</v>
      </c>
      <c r="J23" s="14">
        <v>1</v>
      </c>
    </row>
    <row r="24" spans="1:10" x14ac:dyDescent="0.3">
      <c r="A24" s="13" t="s">
        <v>148</v>
      </c>
      <c r="C24" s="6" t="s">
        <v>157</v>
      </c>
      <c r="D24" s="10" t="s">
        <v>140</v>
      </c>
      <c r="E24" s="10" t="s">
        <v>22</v>
      </c>
      <c r="F24" s="15">
        <v>1</v>
      </c>
      <c r="G24" s="6" t="s">
        <v>14</v>
      </c>
      <c r="H24" s="10"/>
      <c r="I24" s="9">
        <f>+J24/60</f>
        <v>1</v>
      </c>
      <c r="J24" s="18">
        <v>60</v>
      </c>
    </row>
    <row r="25" spans="1:10" x14ac:dyDescent="0.3">
      <c r="A25" s="13" t="s">
        <v>57</v>
      </c>
      <c r="C25" s="6" t="s">
        <v>164</v>
      </c>
      <c r="D25" s="10" t="s">
        <v>129</v>
      </c>
      <c r="E25" s="10" t="s">
        <v>63</v>
      </c>
      <c r="F25" s="12">
        <v>1</v>
      </c>
      <c r="G25" s="11" t="s">
        <v>14</v>
      </c>
      <c r="H25" s="10"/>
      <c r="I25" s="9">
        <f>+J25/60</f>
        <v>9.5238095238095219E-2</v>
      </c>
      <c r="J25" s="8">
        <v>5.7142857142857135</v>
      </c>
    </row>
    <row r="26" spans="1:10" x14ac:dyDescent="0.3">
      <c r="A26" s="13" t="s">
        <v>57</v>
      </c>
      <c r="C26" s="16" t="s">
        <v>162</v>
      </c>
      <c r="D26" s="10" t="s">
        <v>129</v>
      </c>
      <c r="E26" s="10" t="s">
        <v>54</v>
      </c>
      <c r="F26" s="20">
        <v>0.6</v>
      </c>
      <c r="G26" s="10" t="s">
        <v>6</v>
      </c>
      <c r="H26" s="10"/>
      <c r="I26" s="9">
        <f>+J26/60</f>
        <v>8.4444444444444447E-2</v>
      </c>
      <c r="J26" s="14">
        <v>5.0666666666666664</v>
      </c>
    </row>
    <row r="27" spans="1:10" x14ac:dyDescent="0.3">
      <c r="A27" s="13" t="s">
        <v>168</v>
      </c>
      <c r="C27" s="45"/>
      <c r="D27" s="10" t="s">
        <v>121</v>
      </c>
      <c r="E27" s="10" t="s">
        <v>41</v>
      </c>
      <c r="F27" s="6"/>
      <c r="G27" s="6" t="s">
        <v>0</v>
      </c>
      <c r="H27" s="10"/>
      <c r="I27" s="9">
        <f>+J27/60</f>
        <v>0.18291666666666667</v>
      </c>
      <c r="J27" s="17">
        <v>10.975</v>
      </c>
    </row>
    <row r="28" spans="1:10" x14ac:dyDescent="0.3">
      <c r="A28" s="13" t="s">
        <v>167</v>
      </c>
      <c r="C28" s="6" t="s">
        <v>144</v>
      </c>
      <c r="D28" s="10" t="s">
        <v>91</v>
      </c>
      <c r="E28" s="10" t="s">
        <v>41</v>
      </c>
      <c r="F28" s="15">
        <v>1</v>
      </c>
      <c r="G28" s="10" t="s">
        <v>105</v>
      </c>
      <c r="H28" s="10"/>
      <c r="I28" s="9">
        <f>+J28/60</f>
        <v>3.3333333333333333E-2</v>
      </c>
      <c r="J28" s="44">
        <v>2</v>
      </c>
    </row>
    <row r="29" spans="1:10" x14ac:dyDescent="0.3">
      <c r="A29" s="13" t="s">
        <v>166</v>
      </c>
      <c r="C29" s="16" t="s">
        <v>149</v>
      </c>
      <c r="D29" s="10" t="s">
        <v>91</v>
      </c>
      <c r="E29" s="10" t="s">
        <v>41</v>
      </c>
      <c r="F29" s="42">
        <v>1</v>
      </c>
      <c r="G29" s="10" t="s">
        <v>105</v>
      </c>
      <c r="H29" s="10"/>
      <c r="I29" s="9">
        <f>+J29/60</f>
        <v>3.3333333333333333E-2</v>
      </c>
      <c r="J29" s="44">
        <v>2</v>
      </c>
    </row>
    <row r="30" spans="1:10" x14ac:dyDescent="0.3">
      <c r="A30" s="13" t="s">
        <v>156</v>
      </c>
      <c r="C30" s="6" t="s">
        <v>157</v>
      </c>
      <c r="D30" s="10" t="s">
        <v>140</v>
      </c>
      <c r="E30" s="10" t="s">
        <v>22</v>
      </c>
      <c r="F30" s="20">
        <v>1</v>
      </c>
      <c r="G30" s="6" t="s">
        <v>14</v>
      </c>
      <c r="H30" s="10"/>
      <c r="I30" s="9">
        <f>+J30/60</f>
        <v>0.75</v>
      </c>
      <c r="J30" s="18">
        <v>45</v>
      </c>
    </row>
    <row r="31" spans="1:10" x14ac:dyDescent="0.3">
      <c r="A31" s="13" t="s">
        <v>165</v>
      </c>
      <c r="C31" s="6"/>
      <c r="D31" s="10" t="s">
        <v>121</v>
      </c>
      <c r="E31" s="10" t="s">
        <v>41</v>
      </c>
      <c r="F31" s="6"/>
      <c r="G31" s="6" t="s">
        <v>0</v>
      </c>
      <c r="H31" s="10"/>
      <c r="I31" s="9">
        <f>+J31/60</f>
        <v>3.3333333333333333E-2</v>
      </c>
      <c r="J31" s="17">
        <v>2</v>
      </c>
    </row>
    <row r="32" spans="1:10" x14ac:dyDescent="0.3">
      <c r="A32" s="13" t="s">
        <v>163</v>
      </c>
      <c r="C32" s="6" t="s">
        <v>164</v>
      </c>
      <c r="D32" s="10" t="s">
        <v>129</v>
      </c>
      <c r="E32" s="10" t="s">
        <v>63</v>
      </c>
      <c r="F32" s="20">
        <v>0.4</v>
      </c>
      <c r="G32" s="11" t="s">
        <v>6</v>
      </c>
      <c r="H32" s="10"/>
      <c r="I32" s="9">
        <f>+J32/60</f>
        <v>7.8235294117647083E-2</v>
      </c>
      <c r="J32" s="8">
        <v>4.6941176470588246</v>
      </c>
    </row>
    <row r="33" spans="1:10" x14ac:dyDescent="0.3">
      <c r="A33" s="13" t="s">
        <v>163</v>
      </c>
      <c r="C33" s="16" t="s">
        <v>162</v>
      </c>
      <c r="D33" s="10" t="s">
        <v>129</v>
      </c>
      <c r="E33" s="34" t="s">
        <v>54</v>
      </c>
      <c r="F33" s="20">
        <v>1</v>
      </c>
      <c r="G33" s="11" t="s">
        <v>6</v>
      </c>
      <c r="H33" s="10"/>
      <c r="I33" s="9">
        <f>+J33/60</f>
        <v>3.3333333333333333E-2</v>
      </c>
      <c r="J33" s="17">
        <v>2</v>
      </c>
    </row>
    <row r="34" spans="1:10" x14ac:dyDescent="0.3">
      <c r="A34" s="13" t="s">
        <v>161</v>
      </c>
      <c r="C34" s="6" t="s">
        <v>144</v>
      </c>
      <c r="D34" s="10" t="s">
        <v>91</v>
      </c>
      <c r="E34" s="10" t="s">
        <v>41</v>
      </c>
      <c r="F34" s="12">
        <v>1</v>
      </c>
      <c r="G34" s="10" t="s">
        <v>14</v>
      </c>
      <c r="H34" s="10"/>
      <c r="I34" s="9">
        <f>+J34/60</f>
        <v>0.1</v>
      </c>
      <c r="J34" s="43">
        <v>6</v>
      </c>
    </row>
    <row r="35" spans="1:10" x14ac:dyDescent="0.3">
      <c r="A35" s="13" t="s">
        <v>160</v>
      </c>
      <c r="C35" s="16" t="s">
        <v>149</v>
      </c>
      <c r="D35" s="10" t="s">
        <v>91</v>
      </c>
      <c r="E35" s="10" t="s">
        <v>41</v>
      </c>
      <c r="F35" s="42">
        <v>1</v>
      </c>
      <c r="G35" s="10" t="s">
        <v>14</v>
      </c>
      <c r="H35" s="10"/>
      <c r="I35" s="9">
        <f>+J35/60</f>
        <v>0.1</v>
      </c>
      <c r="J35" s="43">
        <v>6</v>
      </c>
    </row>
    <row r="36" spans="1:10" x14ac:dyDescent="0.3">
      <c r="A36" s="13" t="s">
        <v>151</v>
      </c>
      <c r="C36" s="6" t="s">
        <v>157</v>
      </c>
      <c r="D36" s="10" t="s">
        <v>140</v>
      </c>
      <c r="E36" s="10" t="s">
        <v>22</v>
      </c>
      <c r="F36" s="15">
        <v>1</v>
      </c>
      <c r="G36" s="10" t="s">
        <v>6</v>
      </c>
      <c r="H36" s="10"/>
      <c r="I36" s="9">
        <f>+J36/60</f>
        <v>0.75</v>
      </c>
      <c r="J36" s="43">
        <v>45</v>
      </c>
    </row>
    <row r="37" spans="1:10" x14ac:dyDescent="0.3">
      <c r="A37" s="13" t="s">
        <v>148</v>
      </c>
      <c r="C37" s="6" t="s">
        <v>143</v>
      </c>
      <c r="D37" s="10" t="s">
        <v>140</v>
      </c>
      <c r="E37" s="10" t="s">
        <v>63</v>
      </c>
      <c r="F37" s="12">
        <v>1</v>
      </c>
      <c r="G37" s="6" t="s">
        <v>14</v>
      </c>
      <c r="H37" s="10"/>
      <c r="I37" s="9">
        <f>+J37/60</f>
        <v>8.4444444444444447E-2</v>
      </c>
      <c r="J37" s="8">
        <v>5.0666666666666664</v>
      </c>
    </row>
    <row r="38" spans="1:10" x14ac:dyDescent="0.3">
      <c r="A38" s="13" t="s">
        <v>159</v>
      </c>
      <c r="C38" s="6"/>
      <c r="D38" s="10" t="s">
        <v>121</v>
      </c>
      <c r="E38" s="10" t="s">
        <v>41</v>
      </c>
      <c r="F38" s="31"/>
      <c r="G38" s="6" t="s">
        <v>0</v>
      </c>
      <c r="H38" s="10"/>
      <c r="I38" s="9">
        <f>+J38/60</f>
        <v>0.1</v>
      </c>
      <c r="J38" s="17">
        <v>6</v>
      </c>
    </row>
    <row r="39" spans="1:10" x14ac:dyDescent="0.3">
      <c r="A39" s="13" t="s">
        <v>158</v>
      </c>
      <c r="C39" s="6" t="s">
        <v>144</v>
      </c>
      <c r="D39" s="10" t="s">
        <v>91</v>
      </c>
      <c r="E39" s="10" t="s">
        <v>41</v>
      </c>
      <c r="F39" s="20">
        <v>1</v>
      </c>
      <c r="G39" s="10" t="s">
        <v>105</v>
      </c>
      <c r="H39" s="10"/>
      <c r="I39" s="9">
        <f>+J39/60</f>
        <v>0.05</v>
      </c>
      <c r="J39" s="14">
        <v>3</v>
      </c>
    </row>
    <row r="40" spans="1:10" x14ac:dyDescent="0.3">
      <c r="A40" s="13" t="s">
        <v>142</v>
      </c>
      <c r="C40" s="6" t="s">
        <v>157</v>
      </c>
      <c r="D40" s="10" t="s">
        <v>140</v>
      </c>
      <c r="E40" s="10" t="s">
        <v>22</v>
      </c>
      <c r="F40" s="12">
        <v>1</v>
      </c>
      <c r="G40" s="34" t="s">
        <v>61</v>
      </c>
      <c r="H40" s="10"/>
      <c r="I40" s="9">
        <f>+J40/60</f>
        <v>1</v>
      </c>
      <c r="J40" s="18">
        <v>60</v>
      </c>
    </row>
    <row r="41" spans="1:10" x14ac:dyDescent="0.3">
      <c r="A41" s="13" t="s">
        <v>156</v>
      </c>
      <c r="C41" s="6" t="s">
        <v>143</v>
      </c>
      <c r="D41" s="10" t="s">
        <v>140</v>
      </c>
      <c r="E41" s="10" t="s">
        <v>63</v>
      </c>
      <c r="F41" s="12">
        <v>1</v>
      </c>
      <c r="G41" s="6" t="s">
        <v>14</v>
      </c>
      <c r="H41" s="10"/>
      <c r="I41" s="9">
        <f>+J41/60</f>
        <v>1.6666666666666666E-2</v>
      </c>
      <c r="J41" s="8">
        <v>1</v>
      </c>
    </row>
    <row r="42" spans="1:10" x14ac:dyDescent="0.3">
      <c r="A42" s="13" t="s">
        <v>156</v>
      </c>
      <c r="C42" s="16" t="s">
        <v>141</v>
      </c>
      <c r="D42" s="10" t="s">
        <v>140</v>
      </c>
      <c r="E42" s="10" t="s">
        <v>54</v>
      </c>
      <c r="F42" s="12">
        <v>0.6</v>
      </c>
      <c r="G42" s="6" t="s">
        <v>14</v>
      </c>
      <c r="H42" s="10"/>
      <c r="I42" s="9">
        <f>+J42/60</f>
        <v>1.6666666666666666E-2</v>
      </c>
      <c r="J42" s="18">
        <v>1</v>
      </c>
    </row>
    <row r="43" spans="1:10" x14ac:dyDescent="0.3">
      <c r="A43" s="13" t="s">
        <v>155</v>
      </c>
      <c r="C43" s="6"/>
      <c r="D43" s="10" t="s">
        <v>121</v>
      </c>
      <c r="E43" s="10" t="s">
        <v>41</v>
      </c>
      <c r="F43" s="6"/>
      <c r="G43" s="6" t="s">
        <v>0</v>
      </c>
      <c r="H43" s="10"/>
      <c r="I43" s="9">
        <f>+J43/60</f>
        <v>0.21083333333333334</v>
      </c>
      <c r="J43" s="17">
        <v>12.65</v>
      </c>
    </row>
    <row r="44" spans="1:10" x14ac:dyDescent="0.3">
      <c r="A44" s="13" t="s">
        <v>154</v>
      </c>
      <c r="C44" s="16" t="s">
        <v>149</v>
      </c>
      <c r="D44" s="10" t="s">
        <v>91</v>
      </c>
      <c r="E44" s="10" t="s">
        <v>41</v>
      </c>
      <c r="F44" s="15">
        <v>1</v>
      </c>
      <c r="G44" s="10" t="s">
        <v>105</v>
      </c>
      <c r="H44" s="10"/>
      <c r="I44" s="9">
        <f>+J44/60</f>
        <v>5</v>
      </c>
      <c r="J44" s="14">
        <v>300</v>
      </c>
    </row>
    <row r="45" spans="1:10" x14ac:dyDescent="0.3">
      <c r="A45" s="13" t="s">
        <v>153</v>
      </c>
      <c r="B45" t="s">
        <v>103</v>
      </c>
      <c r="C45" s="6" t="s">
        <v>144</v>
      </c>
      <c r="D45" s="10" t="s">
        <v>91</v>
      </c>
      <c r="E45" s="10" t="s">
        <v>41</v>
      </c>
      <c r="F45" s="42">
        <v>1</v>
      </c>
      <c r="G45" s="10" t="s">
        <v>105</v>
      </c>
      <c r="H45" s="10"/>
      <c r="I45" s="9">
        <f>+J45/60</f>
        <v>2</v>
      </c>
      <c r="J45" s="14">
        <v>120</v>
      </c>
    </row>
    <row r="46" spans="1:10" x14ac:dyDescent="0.3">
      <c r="A46" s="29" t="s">
        <v>139</v>
      </c>
      <c r="C46" s="6" t="s">
        <v>115</v>
      </c>
      <c r="D46" s="10" t="s">
        <v>129</v>
      </c>
      <c r="E46" s="10" t="s">
        <v>22</v>
      </c>
      <c r="F46" s="12">
        <v>0.6</v>
      </c>
      <c r="G46" s="10" t="s">
        <v>6</v>
      </c>
      <c r="H46" s="10"/>
      <c r="I46" s="9">
        <f>+J46/60</f>
        <v>1.6666666666666666E-2</v>
      </c>
      <c r="J46" s="14">
        <v>1</v>
      </c>
    </row>
    <row r="47" spans="1:10" x14ac:dyDescent="0.3">
      <c r="A47" s="13" t="s">
        <v>151</v>
      </c>
      <c r="B47" t="s">
        <v>75</v>
      </c>
      <c r="C47" s="6" t="s">
        <v>143</v>
      </c>
      <c r="D47" s="10" t="s">
        <v>140</v>
      </c>
      <c r="E47" s="10" t="s">
        <v>63</v>
      </c>
      <c r="F47" s="12">
        <v>1</v>
      </c>
      <c r="G47" s="11" t="s">
        <v>6</v>
      </c>
      <c r="H47" s="10"/>
      <c r="I47" s="9">
        <f>+J47/60</f>
        <v>9.5238095238095219E-2</v>
      </c>
      <c r="J47" s="8">
        <v>5.7142857142857135</v>
      </c>
    </row>
    <row r="48" spans="1:10" x14ac:dyDescent="0.3">
      <c r="A48" s="13" t="s">
        <v>152</v>
      </c>
      <c r="C48" s="6"/>
      <c r="D48" s="10" t="s">
        <v>121</v>
      </c>
      <c r="E48" s="10" t="s">
        <v>41</v>
      </c>
      <c r="F48" s="6"/>
      <c r="G48" s="6" t="s">
        <v>136</v>
      </c>
      <c r="H48" s="10"/>
      <c r="I48" s="9">
        <f>+J48/60</f>
        <v>0.13374999999999998</v>
      </c>
      <c r="J48" s="17">
        <v>8.0249999999999986</v>
      </c>
    </row>
    <row r="49" spans="1:10" x14ac:dyDescent="0.3">
      <c r="A49" s="13" t="s">
        <v>151</v>
      </c>
      <c r="C49" s="16" t="s">
        <v>141</v>
      </c>
      <c r="D49" s="10" t="s">
        <v>140</v>
      </c>
      <c r="E49" s="10" t="s">
        <v>54</v>
      </c>
      <c r="F49" s="12">
        <v>0.6</v>
      </c>
      <c r="G49" s="10" t="s">
        <v>6</v>
      </c>
      <c r="H49" s="10"/>
      <c r="I49" s="9">
        <f>+J49/60</f>
        <v>9.5238095238095219E-2</v>
      </c>
      <c r="J49" s="14">
        <v>5.7142857142857135</v>
      </c>
    </row>
    <row r="50" spans="1:10" x14ac:dyDescent="0.3">
      <c r="A50" s="13" t="s">
        <v>150</v>
      </c>
      <c r="C50" s="16" t="s">
        <v>149</v>
      </c>
      <c r="D50" s="10" t="s">
        <v>91</v>
      </c>
      <c r="E50" s="10" t="s">
        <v>41</v>
      </c>
      <c r="F50" s="12">
        <v>1</v>
      </c>
      <c r="G50" s="10" t="s">
        <v>105</v>
      </c>
      <c r="H50" s="10"/>
      <c r="I50" s="9">
        <f>+J50/60</f>
        <v>0.1</v>
      </c>
      <c r="J50" s="14">
        <v>6</v>
      </c>
    </row>
    <row r="51" spans="1:10" x14ac:dyDescent="0.3">
      <c r="A51" s="13" t="s">
        <v>148</v>
      </c>
      <c r="C51" s="16" t="s">
        <v>141</v>
      </c>
      <c r="D51" s="10" t="s">
        <v>140</v>
      </c>
      <c r="E51" s="10" t="s">
        <v>54</v>
      </c>
      <c r="F51" s="42">
        <v>0.6</v>
      </c>
      <c r="G51" s="6" t="s">
        <v>14</v>
      </c>
      <c r="H51" s="10"/>
      <c r="I51" s="9">
        <f>+J51/60</f>
        <v>8.4444444444444447E-2</v>
      </c>
      <c r="J51" s="18">
        <v>5.0666666666666664</v>
      </c>
    </row>
    <row r="52" spans="1:10" x14ac:dyDescent="0.3">
      <c r="A52" s="13" t="s">
        <v>147</v>
      </c>
      <c r="C52" s="6" t="s">
        <v>115</v>
      </c>
      <c r="D52" s="10" t="s">
        <v>91</v>
      </c>
      <c r="E52" s="10" t="s">
        <v>41</v>
      </c>
      <c r="F52" s="42">
        <v>1</v>
      </c>
      <c r="G52" s="10" t="s">
        <v>105</v>
      </c>
      <c r="H52" s="10"/>
      <c r="I52" s="9">
        <f>+J52/60</f>
        <v>8.3333333333333329E-2</v>
      </c>
      <c r="J52" s="14">
        <v>5</v>
      </c>
    </row>
    <row r="53" spans="1:10" x14ac:dyDescent="0.3">
      <c r="A53" s="41" t="s">
        <v>146</v>
      </c>
      <c r="B53" s="40" t="s">
        <v>145</v>
      </c>
      <c r="C53" s="39" t="s">
        <v>144</v>
      </c>
      <c r="D53" s="37" t="s">
        <v>91</v>
      </c>
      <c r="E53" s="37" t="s">
        <v>41</v>
      </c>
      <c r="F53" s="38">
        <v>1</v>
      </c>
      <c r="G53" s="37" t="s">
        <v>105</v>
      </c>
      <c r="H53" s="37"/>
      <c r="I53" s="36">
        <f>+J53/60</f>
        <v>3</v>
      </c>
      <c r="J53" s="35">
        <v>180</v>
      </c>
    </row>
    <row r="54" spans="1:10" x14ac:dyDescent="0.3">
      <c r="A54" s="13" t="s">
        <v>142</v>
      </c>
      <c r="B54" t="s">
        <v>75</v>
      </c>
      <c r="C54" s="6" t="s">
        <v>143</v>
      </c>
      <c r="D54" s="10" t="s">
        <v>140</v>
      </c>
      <c r="E54" s="10" t="s">
        <v>63</v>
      </c>
      <c r="F54" s="15">
        <v>1</v>
      </c>
      <c r="G54" s="34" t="s">
        <v>61</v>
      </c>
      <c r="H54" s="10"/>
      <c r="I54" s="9">
        <f>+J54/60</f>
        <v>6.6666666666666666E-2</v>
      </c>
      <c r="J54" s="8">
        <v>4</v>
      </c>
    </row>
    <row r="55" spans="1:10" x14ac:dyDescent="0.3">
      <c r="A55" s="13" t="s">
        <v>142</v>
      </c>
      <c r="C55" s="16" t="s">
        <v>141</v>
      </c>
      <c r="D55" s="10" t="s">
        <v>140</v>
      </c>
      <c r="E55" s="10" t="s">
        <v>41</v>
      </c>
      <c r="F55" s="15">
        <v>0.4</v>
      </c>
      <c r="G55" s="34" t="s">
        <v>61</v>
      </c>
      <c r="H55" s="10"/>
      <c r="I55" s="9">
        <f>+J55/60</f>
        <v>6.6666666666666666E-2</v>
      </c>
      <c r="J55" s="18">
        <v>4</v>
      </c>
    </row>
    <row r="56" spans="1:10" x14ac:dyDescent="0.3">
      <c r="A56" s="13" t="s">
        <v>142</v>
      </c>
      <c r="C56" s="16" t="s">
        <v>141</v>
      </c>
      <c r="D56" s="10" t="s">
        <v>140</v>
      </c>
      <c r="E56" s="10" t="s">
        <v>54</v>
      </c>
      <c r="F56" s="12">
        <v>0.6</v>
      </c>
      <c r="G56" s="34" t="s">
        <v>61</v>
      </c>
      <c r="H56" s="10"/>
      <c r="I56" s="9">
        <f>+J56/60</f>
        <v>6.6666666666666666E-2</v>
      </c>
      <c r="J56" s="18">
        <v>4</v>
      </c>
    </row>
    <row r="57" spans="1:10" x14ac:dyDescent="0.3">
      <c r="A57" s="13" t="s">
        <v>26</v>
      </c>
      <c r="C57" s="6"/>
      <c r="D57" s="10" t="s">
        <v>121</v>
      </c>
      <c r="E57" s="10" t="s">
        <v>41</v>
      </c>
      <c r="F57" s="6"/>
      <c r="G57" s="6" t="s">
        <v>14</v>
      </c>
      <c r="H57" s="10"/>
      <c r="I57" s="9">
        <f>+J57/60</f>
        <v>3.3333333333333333E-2</v>
      </c>
      <c r="J57" s="17">
        <v>2</v>
      </c>
    </row>
    <row r="58" spans="1:10" x14ac:dyDescent="0.3">
      <c r="A58" s="29" t="s">
        <v>139</v>
      </c>
      <c r="C58" s="6" t="s">
        <v>8</v>
      </c>
      <c r="D58" s="10" t="s">
        <v>129</v>
      </c>
      <c r="E58" s="10" t="s">
        <v>22</v>
      </c>
      <c r="F58" s="12">
        <v>0.6</v>
      </c>
      <c r="G58" s="11" t="s">
        <v>6</v>
      </c>
      <c r="H58" s="10"/>
      <c r="I58" s="9">
        <f>+J58/60</f>
        <v>1.6666666666666666E-2</v>
      </c>
      <c r="J58" s="8">
        <v>1</v>
      </c>
    </row>
    <row r="59" spans="1:10" x14ac:dyDescent="0.3">
      <c r="A59" s="13" t="s">
        <v>138</v>
      </c>
      <c r="C59" s="16" t="s">
        <v>42</v>
      </c>
      <c r="D59" s="10" t="s">
        <v>91</v>
      </c>
      <c r="E59" s="10" t="s">
        <v>41</v>
      </c>
      <c r="F59" s="15">
        <v>0.4</v>
      </c>
      <c r="G59" s="6" t="s">
        <v>14</v>
      </c>
      <c r="H59" s="10"/>
      <c r="I59" s="9">
        <f>+J59/60</f>
        <v>1.6666666666666666E-2</v>
      </c>
      <c r="J59" s="17">
        <v>1</v>
      </c>
    </row>
    <row r="60" spans="1:10" x14ac:dyDescent="0.3">
      <c r="A60" s="13" t="s">
        <v>137</v>
      </c>
      <c r="C60" s="16"/>
      <c r="D60" s="10" t="s">
        <v>121</v>
      </c>
      <c r="E60" s="10" t="s">
        <v>41</v>
      </c>
      <c r="F60" s="6"/>
      <c r="G60" s="6" t="s">
        <v>136</v>
      </c>
      <c r="H60" s="10"/>
      <c r="I60" s="9">
        <f>+J60/60</f>
        <v>3.3333333333333333E-2</v>
      </c>
      <c r="J60" s="17">
        <v>2</v>
      </c>
    </row>
    <row r="61" spans="1:10" x14ac:dyDescent="0.3">
      <c r="A61" s="13" t="s">
        <v>119</v>
      </c>
      <c r="B61" t="s">
        <v>75</v>
      </c>
      <c r="C61" s="6" t="s">
        <v>115</v>
      </c>
      <c r="D61" s="10" t="s">
        <v>91</v>
      </c>
      <c r="E61" s="10" t="s">
        <v>73</v>
      </c>
      <c r="F61" s="15">
        <v>1</v>
      </c>
      <c r="G61" s="10" t="s">
        <v>105</v>
      </c>
      <c r="H61" s="10"/>
      <c r="I61" s="9">
        <f>+J61/60</f>
        <v>5</v>
      </c>
      <c r="J61" s="14">
        <v>300</v>
      </c>
    </row>
    <row r="62" spans="1:10" x14ac:dyDescent="0.3">
      <c r="A62" s="33" t="s">
        <v>135</v>
      </c>
      <c r="C62" s="6" t="s">
        <v>8</v>
      </c>
      <c r="D62" s="10" t="s">
        <v>91</v>
      </c>
      <c r="E62" s="10" t="s">
        <v>63</v>
      </c>
      <c r="F62" s="20">
        <v>1</v>
      </c>
      <c r="G62" s="11" t="s">
        <v>6</v>
      </c>
      <c r="H62" s="10"/>
      <c r="I62" s="9">
        <f>+J62/60</f>
        <v>7.8235294117647083E-2</v>
      </c>
      <c r="J62" s="8">
        <v>4.6941176470588246</v>
      </c>
    </row>
    <row r="63" spans="1:10" x14ac:dyDescent="0.3">
      <c r="A63" s="13" t="s">
        <v>134</v>
      </c>
      <c r="C63" s="16" t="s">
        <v>42</v>
      </c>
      <c r="D63" s="10" t="s">
        <v>91</v>
      </c>
      <c r="E63" s="10" t="s">
        <v>41</v>
      </c>
      <c r="F63" s="20">
        <v>1</v>
      </c>
      <c r="G63" s="6" t="s">
        <v>14</v>
      </c>
      <c r="H63" s="10"/>
      <c r="I63" s="9">
        <f>+J63/60</f>
        <v>3.3333333333333333E-2</v>
      </c>
      <c r="J63" s="17">
        <v>2</v>
      </c>
    </row>
    <row r="64" spans="1:10" x14ac:dyDescent="0.3">
      <c r="A64" s="13" t="s">
        <v>133</v>
      </c>
      <c r="C64" s="6"/>
      <c r="D64" s="10" t="s">
        <v>121</v>
      </c>
      <c r="E64" s="10" t="s">
        <v>41</v>
      </c>
      <c r="F64" s="31"/>
      <c r="G64" s="6" t="s">
        <v>0</v>
      </c>
      <c r="H64" s="10" t="s">
        <v>132</v>
      </c>
      <c r="I64" s="9">
        <f>+J64/60</f>
        <v>3.3333333333333333E-2</v>
      </c>
      <c r="J64" s="32">
        <v>2</v>
      </c>
    </row>
    <row r="65" spans="1:10" x14ac:dyDescent="0.3">
      <c r="A65" s="13" t="s">
        <v>131</v>
      </c>
      <c r="C65" s="6" t="s">
        <v>115</v>
      </c>
      <c r="D65" s="10" t="s">
        <v>91</v>
      </c>
      <c r="E65" s="10" t="s">
        <v>41</v>
      </c>
      <c r="F65" s="15">
        <v>1</v>
      </c>
      <c r="G65" s="6" t="s">
        <v>14</v>
      </c>
      <c r="H65" s="10" t="s">
        <v>105</v>
      </c>
      <c r="I65" s="9">
        <f>+J65/60</f>
        <v>3.3333333333333333E-2</v>
      </c>
      <c r="J65" s="18">
        <v>2</v>
      </c>
    </row>
    <row r="66" spans="1:10" x14ac:dyDescent="0.3">
      <c r="A66" s="13" t="s">
        <v>53</v>
      </c>
      <c r="C66" s="6" t="s">
        <v>8</v>
      </c>
      <c r="D66" s="10" t="s">
        <v>91</v>
      </c>
      <c r="E66" s="10" t="s">
        <v>63</v>
      </c>
      <c r="F66" s="12">
        <v>1</v>
      </c>
      <c r="G66" s="11" t="s">
        <v>6</v>
      </c>
      <c r="H66" s="10"/>
      <c r="I66" s="9">
        <f>+J66/60</f>
        <v>3.9771241830065369E-2</v>
      </c>
      <c r="J66" s="8">
        <v>2.386274509803922</v>
      </c>
    </row>
    <row r="67" spans="1:10" x14ac:dyDescent="0.3">
      <c r="A67" s="13" t="s">
        <v>30</v>
      </c>
      <c r="C67" s="16"/>
      <c r="D67" s="10" t="s">
        <v>121</v>
      </c>
      <c r="E67" s="10" t="s">
        <v>41</v>
      </c>
      <c r="F67" s="6"/>
      <c r="G67" s="6" t="s">
        <v>14</v>
      </c>
      <c r="H67" s="10"/>
      <c r="I67" s="9">
        <f>+J67/60</f>
        <v>1.6666666666666666E-2</v>
      </c>
      <c r="J67" s="17">
        <v>1</v>
      </c>
    </row>
    <row r="68" spans="1:10" x14ac:dyDescent="0.3">
      <c r="A68" s="13" t="s">
        <v>130</v>
      </c>
      <c r="C68" s="16" t="s">
        <v>42</v>
      </c>
      <c r="D68" s="10" t="s">
        <v>129</v>
      </c>
      <c r="E68" s="10" t="s">
        <v>54</v>
      </c>
      <c r="F68" s="15">
        <v>0.6</v>
      </c>
      <c r="G68" s="6" t="s">
        <v>14</v>
      </c>
      <c r="H68" s="10"/>
      <c r="I68" s="9">
        <f>+J68/60</f>
        <v>1.6666666666666666E-2</v>
      </c>
      <c r="J68" s="17">
        <v>1</v>
      </c>
    </row>
    <row r="69" spans="1:10" x14ac:dyDescent="0.3">
      <c r="A69" s="13" t="s">
        <v>114</v>
      </c>
      <c r="C69" s="6" t="s">
        <v>115</v>
      </c>
      <c r="D69" s="10" t="s">
        <v>91</v>
      </c>
      <c r="E69" s="10" t="s">
        <v>41</v>
      </c>
      <c r="F69" s="15">
        <v>1</v>
      </c>
      <c r="G69" s="10" t="s">
        <v>105</v>
      </c>
      <c r="H69" s="10"/>
      <c r="I69" s="9">
        <f>+J69/60</f>
        <v>3.3333333333333333E-2</v>
      </c>
      <c r="J69" s="14">
        <v>2</v>
      </c>
    </row>
    <row r="70" spans="1:10" x14ac:dyDescent="0.3">
      <c r="A70" s="13" t="s">
        <v>112</v>
      </c>
      <c r="C70" s="6" t="s">
        <v>115</v>
      </c>
      <c r="D70" s="10" t="s">
        <v>91</v>
      </c>
      <c r="E70" s="10" t="s">
        <v>41</v>
      </c>
      <c r="F70" s="15">
        <v>1</v>
      </c>
      <c r="G70" s="10" t="s">
        <v>105</v>
      </c>
      <c r="H70" s="10"/>
      <c r="I70" s="9">
        <f>+J70/60</f>
        <v>1.6666666666666666E-2</v>
      </c>
      <c r="J70" s="14">
        <v>1</v>
      </c>
    </row>
    <row r="71" spans="1:10" x14ac:dyDescent="0.3">
      <c r="A71" s="13" t="s">
        <v>128</v>
      </c>
      <c r="B71" t="s">
        <v>9</v>
      </c>
      <c r="C71" s="6" t="s">
        <v>8</v>
      </c>
      <c r="D71" s="10" t="s">
        <v>91</v>
      </c>
      <c r="E71" s="10" t="s">
        <v>63</v>
      </c>
      <c r="F71" s="12">
        <v>1</v>
      </c>
      <c r="G71" s="6" t="s">
        <v>14</v>
      </c>
      <c r="H71" s="10"/>
      <c r="I71" s="9">
        <f>+J71/60</f>
        <v>1.6666666666666666E-2</v>
      </c>
      <c r="J71" s="8">
        <v>1</v>
      </c>
    </row>
    <row r="72" spans="1:10" x14ac:dyDescent="0.3">
      <c r="A72" s="13" t="s">
        <v>53</v>
      </c>
      <c r="C72" s="16" t="s">
        <v>42</v>
      </c>
      <c r="D72" s="10" t="s">
        <v>91</v>
      </c>
      <c r="E72" s="10" t="s">
        <v>41</v>
      </c>
      <c r="F72" s="12">
        <v>1</v>
      </c>
      <c r="G72" s="6" t="s">
        <v>14</v>
      </c>
      <c r="H72" s="10"/>
      <c r="I72" s="9">
        <f>+J72/60</f>
        <v>3.3333333333333333E-2</v>
      </c>
      <c r="J72" s="18">
        <v>2</v>
      </c>
    </row>
    <row r="73" spans="1:10" x14ac:dyDescent="0.3">
      <c r="A73" s="13" t="s">
        <v>127</v>
      </c>
      <c r="C73" s="6"/>
      <c r="D73" s="10" t="s">
        <v>121</v>
      </c>
      <c r="E73" s="10" t="s">
        <v>41</v>
      </c>
      <c r="F73" s="31"/>
      <c r="G73" s="6" t="s">
        <v>0</v>
      </c>
      <c r="H73" s="10"/>
      <c r="I73" s="9">
        <f>+J73/60</f>
        <v>1.6666666666666666E-2</v>
      </c>
      <c r="J73" s="17">
        <v>1</v>
      </c>
    </row>
    <row r="74" spans="1:10" x14ac:dyDescent="0.3">
      <c r="A74" s="13" t="s">
        <v>111</v>
      </c>
      <c r="C74" s="6" t="s">
        <v>115</v>
      </c>
      <c r="D74" s="10" t="s">
        <v>91</v>
      </c>
      <c r="E74" s="10" t="s">
        <v>41</v>
      </c>
      <c r="F74" s="15">
        <v>1</v>
      </c>
      <c r="G74" s="10" t="s">
        <v>105</v>
      </c>
      <c r="H74" s="10"/>
      <c r="I74" s="9">
        <f>+J74/60</f>
        <v>0.16666666666666666</v>
      </c>
      <c r="J74" s="14">
        <v>10</v>
      </c>
    </row>
    <row r="75" spans="1:10" x14ac:dyDescent="0.3">
      <c r="A75" s="13" t="s">
        <v>126</v>
      </c>
      <c r="C75" s="16" t="s">
        <v>42</v>
      </c>
      <c r="D75" s="10" t="s">
        <v>91</v>
      </c>
      <c r="E75" s="10" t="s">
        <v>41</v>
      </c>
      <c r="F75" s="12">
        <v>1</v>
      </c>
      <c r="G75" s="10" t="s">
        <v>105</v>
      </c>
      <c r="H75" s="10"/>
      <c r="I75" s="9">
        <f>+J75/60</f>
        <v>8.3333333333333329E-2</v>
      </c>
      <c r="J75" s="17">
        <v>5</v>
      </c>
    </row>
    <row r="76" spans="1:10" x14ac:dyDescent="0.3">
      <c r="A76" s="13" t="s">
        <v>125</v>
      </c>
      <c r="C76" s="6" t="s">
        <v>8</v>
      </c>
      <c r="D76" s="10" t="s">
        <v>91</v>
      </c>
      <c r="E76" s="10" t="s">
        <v>63</v>
      </c>
      <c r="F76" s="12">
        <v>1</v>
      </c>
      <c r="G76" s="11" t="s">
        <v>90</v>
      </c>
      <c r="H76" s="10"/>
      <c r="I76" s="9">
        <f>+J76/60</f>
        <v>0.11416666666666668</v>
      </c>
      <c r="J76" s="8">
        <v>6.8500000000000005</v>
      </c>
    </row>
    <row r="77" spans="1:10" x14ac:dyDescent="0.3">
      <c r="A77" s="13" t="s">
        <v>104</v>
      </c>
      <c r="B77" t="s">
        <v>103</v>
      </c>
      <c r="C77" s="6" t="s">
        <v>115</v>
      </c>
      <c r="D77" s="10" t="s">
        <v>91</v>
      </c>
      <c r="E77" s="10" t="s">
        <v>41</v>
      </c>
      <c r="F77" s="15">
        <v>1</v>
      </c>
      <c r="G77" s="10" t="s">
        <v>105</v>
      </c>
      <c r="H77" s="10"/>
      <c r="I77" s="9">
        <f>+J77/60</f>
        <v>0.83333333333333337</v>
      </c>
      <c r="J77" s="14">
        <v>50</v>
      </c>
    </row>
    <row r="78" spans="1:10" x14ac:dyDescent="0.3">
      <c r="A78" s="13" t="s">
        <v>124</v>
      </c>
      <c r="C78" s="16" t="s">
        <v>42</v>
      </c>
      <c r="D78" s="10" t="s">
        <v>91</v>
      </c>
      <c r="E78" s="10" t="s">
        <v>41</v>
      </c>
      <c r="F78" s="12">
        <v>1</v>
      </c>
      <c r="G78" s="10" t="s">
        <v>105</v>
      </c>
      <c r="H78" s="10"/>
      <c r="I78" s="9">
        <f>+J78/60</f>
        <v>8.3333333333333329E-2</v>
      </c>
      <c r="J78" s="14">
        <v>5</v>
      </c>
    </row>
    <row r="79" spans="1:10" x14ac:dyDescent="0.3">
      <c r="A79" s="13" t="s">
        <v>123</v>
      </c>
      <c r="C79" s="6" t="s">
        <v>8</v>
      </c>
      <c r="D79" s="10" t="s">
        <v>91</v>
      </c>
      <c r="E79" s="10" t="s">
        <v>63</v>
      </c>
      <c r="F79" s="20">
        <v>1</v>
      </c>
      <c r="G79" s="11" t="s">
        <v>90</v>
      </c>
      <c r="H79" s="10"/>
      <c r="I79" s="9">
        <f>+J79/60</f>
        <v>4.2444444444444444E-2</v>
      </c>
      <c r="J79" s="8">
        <v>2.5466666666666669</v>
      </c>
    </row>
    <row r="80" spans="1:10" x14ac:dyDescent="0.3">
      <c r="A80" s="13" t="s">
        <v>122</v>
      </c>
      <c r="C80" s="6"/>
      <c r="D80" s="10" t="s">
        <v>121</v>
      </c>
      <c r="E80" s="10" t="s">
        <v>41</v>
      </c>
      <c r="F80" s="6"/>
      <c r="G80" s="10" t="s">
        <v>120</v>
      </c>
      <c r="H80" s="10"/>
      <c r="I80" s="9">
        <f>+J80/60</f>
        <v>1.6666666666666666E-2</v>
      </c>
      <c r="J80" s="17">
        <v>1</v>
      </c>
    </row>
    <row r="81" spans="1:10" x14ac:dyDescent="0.3">
      <c r="A81" s="13" t="s">
        <v>106</v>
      </c>
      <c r="B81" t="s">
        <v>75</v>
      </c>
      <c r="C81" s="6" t="s">
        <v>115</v>
      </c>
      <c r="D81" s="10" t="s">
        <v>91</v>
      </c>
      <c r="E81" s="10" t="s">
        <v>73</v>
      </c>
      <c r="F81" s="15">
        <v>1</v>
      </c>
      <c r="G81" s="10" t="s">
        <v>105</v>
      </c>
      <c r="H81" s="10"/>
      <c r="I81" s="9">
        <f>+J81/60</f>
        <v>3</v>
      </c>
      <c r="J81" s="14">
        <v>180</v>
      </c>
    </row>
    <row r="82" spans="1:10" x14ac:dyDescent="0.3">
      <c r="A82" s="13" t="s">
        <v>119</v>
      </c>
      <c r="C82" s="16" t="s">
        <v>42</v>
      </c>
      <c r="D82" s="10" t="s">
        <v>91</v>
      </c>
      <c r="E82" s="10" t="s">
        <v>41</v>
      </c>
      <c r="F82" s="15">
        <v>1</v>
      </c>
      <c r="G82" s="10" t="s">
        <v>105</v>
      </c>
      <c r="H82" s="10"/>
      <c r="I82" s="9">
        <f>+J82/60</f>
        <v>4.2444444444444444E-2</v>
      </c>
      <c r="J82" s="14">
        <v>2.5466666666666669</v>
      </c>
    </row>
    <row r="83" spans="1:10" x14ac:dyDescent="0.3">
      <c r="A83" s="13" t="s">
        <v>118</v>
      </c>
      <c r="C83" s="6" t="s">
        <v>8</v>
      </c>
      <c r="D83" s="10" t="s">
        <v>91</v>
      </c>
      <c r="E83" s="10" t="s">
        <v>63</v>
      </c>
      <c r="F83" s="12">
        <v>1</v>
      </c>
      <c r="G83" s="10" t="s">
        <v>90</v>
      </c>
      <c r="H83" s="10" t="s">
        <v>60</v>
      </c>
      <c r="I83" s="9">
        <f>+J83/60</f>
        <v>3.3333333333333333E-2</v>
      </c>
      <c r="J83" s="8">
        <v>2</v>
      </c>
    </row>
    <row r="84" spans="1:10" x14ac:dyDescent="0.3">
      <c r="A84" s="13" t="s">
        <v>117</v>
      </c>
      <c r="C84" s="16" t="s">
        <v>42</v>
      </c>
      <c r="D84" s="10" t="s">
        <v>91</v>
      </c>
      <c r="E84" s="10" t="s">
        <v>41</v>
      </c>
      <c r="F84" s="12">
        <v>1</v>
      </c>
      <c r="G84" s="6" t="s">
        <v>14</v>
      </c>
      <c r="H84" s="10" t="s">
        <v>105</v>
      </c>
      <c r="I84" s="9">
        <f>+J84/60</f>
        <v>3.3333333333333333E-2</v>
      </c>
      <c r="J84" s="18">
        <v>2</v>
      </c>
    </row>
    <row r="85" spans="1:10" x14ac:dyDescent="0.3">
      <c r="A85" s="13" t="s">
        <v>114</v>
      </c>
      <c r="C85" s="6" t="s">
        <v>8</v>
      </c>
      <c r="D85" s="10" t="s">
        <v>91</v>
      </c>
      <c r="E85" s="10" t="s">
        <v>63</v>
      </c>
      <c r="F85" s="12">
        <v>1</v>
      </c>
      <c r="G85" s="11" t="s">
        <v>90</v>
      </c>
      <c r="H85" s="10"/>
      <c r="I85" s="9">
        <f>+J85/60</f>
        <v>3.3333333333333333E-2</v>
      </c>
      <c r="J85" s="8">
        <v>2</v>
      </c>
    </row>
    <row r="86" spans="1:10" x14ac:dyDescent="0.3">
      <c r="A86" s="13" t="s">
        <v>95</v>
      </c>
      <c r="B86" t="s">
        <v>116</v>
      </c>
      <c r="C86" s="6" t="s">
        <v>115</v>
      </c>
      <c r="D86" s="10" t="s">
        <v>91</v>
      </c>
      <c r="E86" s="10" t="s">
        <v>73</v>
      </c>
      <c r="F86" s="12">
        <v>1</v>
      </c>
      <c r="G86" s="10" t="s">
        <v>6</v>
      </c>
      <c r="H86" s="10"/>
      <c r="I86" s="9">
        <f>+J86/60</f>
        <v>3</v>
      </c>
      <c r="J86" s="14">
        <v>180</v>
      </c>
    </row>
    <row r="87" spans="1:10" x14ac:dyDescent="0.3">
      <c r="A87" s="13" t="s">
        <v>114</v>
      </c>
      <c r="C87" s="16" t="s">
        <v>42</v>
      </c>
      <c r="D87" s="10" t="s">
        <v>91</v>
      </c>
      <c r="E87" s="10" t="s">
        <v>41</v>
      </c>
      <c r="F87" s="20">
        <v>1</v>
      </c>
      <c r="G87" s="10" t="s">
        <v>105</v>
      </c>
      <c r="H87" s="10"/>
      <c r="I87" s="9">
        <f>+J87/60</f>
        <v>3.3333333333333333E-2</v>
      </c>
      <c r="J87" s="14">
        <v>2</v>
      </c>
    </row>
    <row r="88" spans="1:10" x14ac:dyDescent="0.3">
      <c r="A88" s="13" t="s">
        <v>113</v>
      </c>
      <c r="C88" s="6" t="s">
        <v>8</v>
      </c>
      <c r="D88" s="10" t="s">
        <v>91</v>
      </c>
      <c r="E88" s="10" t="s">
        <v>63</v>
      </c>
      <c r="F88" s="15">
        <v>1</v>
      </c>
      <c r="G88" s="11" t="s">
        <v>90</v>
      </c>
      <c r="H88" s="10"/>
      <c r="I88" s="9">
        <f>+J88/60</f>
        <v>8.1481481481481474E-2</v>
      </c>
      <c r="J88" s="8">
        <v>4.8888888888888884</v>
      </c>
    </row>
    <row r="89" spans="1:10" x14ac:dyDescent="0.3">
      <c r="A89" s="13" t="s">
        <v>64</v>
      </c>
      <c r="C89" s="6" t="s">
        <v>107</v>
      </c>
      <c r="D89" s="10" t="s">
        <v>46</v>
      </c>
      <c r="E89" s="10" t="s">
        <v>22</v>
      </c>
      <c r="F89" s="12">
        <v>1</v>
      </c>
      <c r="G89" s="10" t="s">
        <v>61</v>
      </c>
      <c r="H89" s="10"/>
      <c r="I89" s="9">
        <f>+J89/60</f>
        <v>1</v>
      </c>
      <c r="J89" s="14">
        <v>60</v>
      </c>
    </row>
    <row r="90" spans="1:10" x14ac:dyDescent="0.3">
      <c r="A90" s="13" t="s">
        <v>113</v>
      </c>
      <c r="C90" s="16" t="s">
        <v>42</v>
      </c>
      <c r="D90" s="10" t="s">
        <v>91</v>
      </c>
      <c r="E90" s="10" t="s">
        <v>41</v>
      </c>
      <c r="F90" s="15">
        <v>1</v>
      </c>
      <c r="G90" s="10" t="s">
        <v>105</v>
      </c>
      <c r="H90" s="10"/>
      <c r="I90" s="9">
        <f>+J90/60</f>
        <v>8.1481481481481474E-2</v>
      </c>
      <c r="J90" s="14">
        <v>4.8888888888888884</v>
      </c>
    </row>
    <row r="91" spans="1:10" x14ac:dyDescent="0.3">
      <c r="A91" s="13" t="s">
        <v>111</v>
      </c>
      <c r="C91" s="6" t="s">
        <v>8</v>
      </c>
      <c r="D91" s="10" t="s">
        <v>91</v>
      </c>
      <c r="E91" s="10" t="s">
        <v>63</v>
      </c>
      <c r="F91" s="12">
        <v>1</v>
      </c>
      <c r="G91" s="11" t="s">
        <v>90</v>
      </c>
      <c r="H91" s="10"/>
      <c r="I91" s="9">
        <f>+J91/60</f>
        <v>0.70350877192982453</v>
      </c>
      <c r="J91" s="8">
        <v>42.210526315789473</v>
      </c>
    </row>
    <row r="92" spans="1:10" x14ac:dyDescent="0.3">
      <c r="A92" s="13" t="s">
        <v>62</v>
      </c>
      <c r="C92" s="6" t="s">
        <v>107</v>
      </c>
      <c r="D92" s="10" t="s">
        <v>46</v>
      </c>
      <c r="E92" s="10" t="s">
        <v>22</v>
      </c>
      <c r="F92" s="12">
        <v>1</v>
      </c>
      <c r="G92" s="10" t="s">
        <v>61</v>
      </c>
      <c r="H92" s="10"/>
      <c r="I92" s="9">
        <f>+J92/60</f>
        <v>0.75</v>
      </c>
      <c r="J92" s="14">
        <v>45</v>
      </c>
    </row>
    <row r="93" spans="1:10" x14ac:dyDescent="0.3">
      <c r="A93" s="29" t="s">
        <v>112</v>
      </c>
      <c r="C93" s="16" t="s">
        <v>42</v>
      </c>
      <c r="D93" s="10" t="s">
        <v>91</v>
      </c>
      <c r="E93" s="10" t="s">
        <v>41</v>
      </c>
      <c r="F93" s="15">
        <v>1</v>
      </c>
      <c r="G93" s="10" t="s">
        <v>105</v>
      </c>
      <c r="H93" s="10"/>
      <c r="I93" s="9">
        <f>+J93/60</f>
        <v>1.6666666666666666E-2</v>
      </c>
      <c r="J93" s="14">
        <v>1</v>
      </c>
    </row>
    <row r="94" spans="1:10" x14ac:dyDescent="0.3">
      <c r="A94" s="13" t="s">
        <v>111</v>
      </c>
      <c r="C94" s="16" t="s">
        <v>42</v>
      </c>
      <c r="D94" s="10" t="s">
        <v>91</v>
      </c>
      <c r="E94" s="10" t="s">
        <v>54</v>
      </c>
      <c r="F94" s="15">
        <v>0.6</v>
      </c>
      <c r="G94" s="10" t="s">
        <v>105</v>
      </c>
      <c r="H94" s="10"/>
      <c r="I94" s="9">
        <f>+J94/60</f>
        <v>0.33333333333333331</v>
      </c>
      <c r="J94" s="14">
        <v>20</v>
      </c>
    </row>
    <row r="95" spans="1:10" x14ac:dyDescent="0.3">
      <c r="A95" s="13" t="s">
        <v>111</v>
      </c>
      <c r="C95" s="16" t="s">
        <v>42</v>
      </c>
      <c r="D95" s="10" t="s">
        <v>91</v>
      </c>
      <c r="E95" s="10" t="s">
        <v>41</v>
      </c>
      <c r="F95" s="12">
        <v>0.4</v>
      </c>
      <c r="G95" s="10" t="s">
        <v>105</v>
      </c>
      <c r="H95" s="10"/>
      <c r="I95" s="9">
        <f>+J95/60</f>
        <v>0.16666666666666666</v>
      </c>
      <c r="J95" s="14">
        <v>10</v>
      </c>
    </row>
    <row r="96" spans="1:10" x14ac:dyDescent="0.3">
      <c r="A96" s="13" t="s">
        <v>110</v>
      </c>
      <c r="B96" t="s">
        <v>11</v>
      </c>
      <c r="C96" s="6" t="s">
        <v>8</v>
      </c>
      <c r="D96" s="10" t="s">
        <v>91</v>
      </c>
      <c r="E96" s="10" t="s">
        <v>63</v>
      </c>
      <c r="F96" s="12">
        <v>1</v>
      </c>
      <c r="G96" s="10" t="s">
        <v>14</v>
      </c>
      <c r="H96" s="10"/>
      <c r="I96" s="9">
        <f>+J96/60</f>
        <v>0.1</v>
      </c>
      <c r="J96" s="8">
        <v>6</v>
      </c>
    </row>
    <row r="97" spans="1:10" x14ac:dyDescent="0.3">
      <c r="A97" s="13" t="s">
        <v>59</v>
      </c>
      <c r="B97" t="s">
        <v>9</v>
      </c>
      <c r="C97" s="6" t="s">
        <v>107</v>
      </c>
      <c r="D97" s="10" t="s">
        <v>46</v>
      </c>
      <c r="E97" s="10" t="s">
        <v>22</v>
      </c>
      <c r="F97" s="15">
        <v>1</v>
      </c>
      <c r="G97" s="10" t="s">
        <v>6</v>
      </c>
      <c r="H97" s="10"/>
      <c r="I97" s="9">
        <f>+J97/60</f>
        <v>0.75</v>
      </c>
      <c r="J97" s="14">
        <v>45</v>
      </c>
    </row>
    <row r="98" spans="1:10" x14ac:dyDescent="0.3">
      <c r="A98" s="13" t="s">
        <v>104</v>
      </c>
      <c r="B98" t="s">
        <v>103</v>
      </c>
      <c r="C98" s="16" t="s">
        <v>42</v>
      </c>
      <c r="D98" s="10" t="s">
        <v>91</v>
      </c>
      <c r="E98" s="10" t="s">
        <v>41</v>
      </c>
      <c r="F98" s="12">
        <v>1</v>
      </c>
      <c r="G98" s="10" t="s">
        <v>105</v>
      </c>
      <c r="H98" s="10"/>
      <c r="I98" s="9">
        <f>+J98/60</f>
        <v>5</v>
      </c>
      <c r="J98" s="14">
        <v>300</v>
      </c>
    </row>
    <row r="99" spans="1:10" x14ac:dyDescent="0.3">
      <c r="A99" s="13" t="s">
        <v>109</v>
      </c>
      <c r="B99" t="s">
        <v>108</v>
      </c>
      <c r="C99" s="6" t="s">
        <v>8</v>
      </c>
      <c r="D99" s="10" t="s">
        <v>91</v>
      </c>
      <c r="E99" s="10" t="s">
        <v>63</v>
      </c>
      <c r="F99" s="12">
        <v>1</v>
      </c>
      <c r="G99" s="11" t="s">
        <v>90</v>
      </c>
      <c r="H99" s="10"/>
      <c r="I99" s="9">
        <f>+J99/60</f>
        <v>0.56666666666666665</v>
      </c>
      <c r="J99" s="8">
        <v>34</v>
      </c>
    </row>
    <row r="100" spans="1:10" x14ac:dyDescent="0.3">
      <c r="A100" s="13" t="s">
        <v>93</v>
      </c>
      <c r="C100" s="6" t="s">
        <v>107</v>
      </c>
      <c r="D100" s="10" t="s">
        <v>46</v>
      </c>
      <c r="E100" s="10" t="s">
        <v>22</v>
      </c>
      <c r="F100" s="12">
        <v>1</v>
      </c>
      <c r="G100" s="10" t="s">
        <v>6</v>
      </c>
      <c r="H100" s="10"/>
      <c r="I100" s="9">
        <f>+J100/60</f>
        <v>1</v>
      </c>
      <c r="J100" s="14">
        <v>60</v>
      </c>
    </row>
    <row r="101" spans="1:10" x14ac:dyDescent="0.3">
      <c r="A101" s="13" t="s">
        <v>106</v>
      </c>
      <c r="B101" t="s">
        <v>75</v>
      </c>
      <c r="C101" s="16" t="s">
        <v>42</v>
      </c>
      <c r="D101" s="10" t="s">
        <v>91</v>
      </c>
      <c r="E101" s="10" t="s">
        <v>41</v>
      </c>
      <c r="F101" s="15">
        <v>1</v>
      </c>
      <c r="G101" s="10" t="s">
        <v>105</v>
      </c>
      <c r="H101" s="10"/>
      <c r="I101" s="9">
        <f>+J101/60</f>
        <v>3</v>
      </c>
      <c r="J101" s="14">
        <v>180</v>
      </c>
    </row>
    <row r="102" spans="1:10" x14ac:dyDescent="0.3">
      <c r="A102" s="13" t="s">
        <v>104</v>
      </c>
      <c r="B102" t="s">
        <v>103</v>
      </c>
      <c r="C102" s="6" t="s">
        <v>8</v>
      </c>
      <c r="D102" s="10" t="s">
        <v>91</v>
      </c>
      <c r="E102" s="10" t="s">
        <v>63</v>
      </c>
      <c r="F102" s="12">
        <v>1</v>
      </c>
      <c r="G102" s="11" t="s">
        <v>90</v>
      </c>
      <c r="H102" s="10"/>
      <c r="I102" s="9">
        <f>+J102/60</f>
        <v>2.2222222222222223</v>
      </c>
      <c r="J102" s="8">
        <v>133.33333333333334</v>
      </c>
    </row>
    <row r="103" spans="1:10" x14ac:dyDescent="0.3">
      <c r="A103" s="13" t="s">
        <v>102</v>
      </c>
      <c r="C103" s="6" t="s">
        <v>78</v>
      </c>
      <c r="D103" s="10" t="s">
        <v>46</v>
      </c>
      <c r="E103" s="10" t="s">
        <v>101</v>
      </c>
      <c r="F103" s="30">
        <v>1</v>
      </c>
      <c r="G103" s="6" t="s">
        <v>14</v>
      </c>
      <c r="H103" s="10"/>
      <c r="I103" s="9">
        <f>+J103/60</f>
        <v>6</v>
      </c>
      <c r="J103" s="17">
        <v>360</v>
      </c>
    </row>
    <row r="104" spans="1:10" x14ac:dyDescent="0.3">
      <c r="A104" s="13" t="s">
        <v>100</v>
      </c>
      <c r="B104" t="s">
        <v>9</v>
      </c>
      <c r="C104" s="6" t="s">
        <v>8</v>
      </c>
      <c r="D104" s="10" t="s">
        <v>91</v>
      </c>
      <c r="E104" s="10" t="s">
        <v>63</v>
      </c>
      <c r="F104" s="12">
        <v>1</v>
      </c>
      <c r="G104" s="6" t="s">
        <v>90</v>
      </c>
      <c r="H104" s="10"/>
      <c r="I104" s="28">
        <f>+J104/60</f>
        <v>8.3333333333333329E-2</v>
      </c>
      <c r="J104" s="8">
        <v>5</v>
      </c>
    </row>
    <row r="105" spans="1:10" x14ac:dyDescent="0.3">
      <c r="A105" s="13" t="s">
        <v>95</v>
      </c>
      <c r="B105" t="s">
        <v>9</v>
      </c>
      <c r="C105" s="16" t="s">
        <v>42</v>
      </c>
      <c r="D105" s="10" t="s">
        <v>91</v>
      </c>
      <c r="E105" s="10" t="s">
        <v>41</v>
      </c>
      <c r="F105" s="15">
        <v>1</v>
      </c>
      <c r="G105" s="10" t="s">
        <v>6</v>
      </c>
      <c r="H105" s="10"/>
      <c r="I105" s="9">
        <f>+J105/60</f>
        <v>9.0000000000000011E-2</v>
      </c>
      <c r="J105" s="14">
        <v>5.4</v>
      </c>
    </row>
    <row r="106" spans="1:10" x14ac:dyDescent="0.3">
      <c r="A106" s="13" t="s">
        <v>44</v>
      </c>
      <c r="B106" t="s">
        <v>9</v>
      </c>
      <c r="C106" s="6" t="s">
        <v>78</v>
      </c>
      <c r="D106" s="10" t="s">
        <v>23</v>
      </c>
      <c r="E106" s="10" t="s">
        <v>99</v>
      </c>
      <c r="F106" s="12">
        <v>1</v>
      </c>
      <c r="G106" s="6" t="s">
        <v>14</v>
      </c>
      <c r="H106" s="10"/>
      <c r="I106" s="9">
        <f>+J106/60</f>
        <v>6</v>
      </c>
      <c r="J106" s="18">
        <v>360</v>
      </c>
    </row>
    <row r="107" spans="1:10" x14ac:dyDescent="0.3">
      <c r="A107" s="13" t="s">
        <v>98</v>
      </c>
      <c r="B107" t="s">
        <v>75</v>
      </c>
      <c r="C107" s="6" t="s">
        <v>8</v>
      </c>
      <c r="D107" s="10" t="s">
        <v>91</v>
      </c>
      <c r="E107" s="10" t="s">
        <v>63</v>
      </c>
      <c r="F107" s="12">
        <v>1</v>
      </c>
      <c r="G107" s="10" t="s">
        <v>90</v>
      </c>
      <c r="H107" s="10"/>
      <c r="I107" s="28">
        <f>+J107/60</f>
        <v>8.3333333333333329E-2</v>
      </c>
      <c r="J107" s="8">
        <v>5</v>
      </c>
    </row>
    <row r="108" spans="1:10" x14ac:dyDescent="0.3">
      <c r="A108" s="13" t="s">
        <v>92</v>
      </c>
      <c r="C108" s="16" t="s">
        <v>42</v>
      </c>
      <c r="D108" s="10" t="s">
        <v>91</v>
      </c>
      <c r="E108" s="10" t="s">
        <v>41</v>
      </c>
      <c r="F108" s="15">
        <v>1</v>
      </c>
      <c r="G108" s="10" t="s">
        <v>0</v>
      </c>
      <c r="H108" s="6" t="s">
        <v>16</v>
      </c>
      <c r="I108" s="9">
        <f>+J108/60</f>
        <v>0.16160909090909092</v>
      </c>
      <c r="J108" s="14">
        <v>9.6965454545454559</v>
      </c>
    </row>
    <row r="109" spans="1:10" x14ac:dyDescent="0.3">
      <c r="A109" s="13" t="s">
        <v>39</v>
      </c>
      <c r="C109" s="6" t="s">
        <v>78</v>
      </c>
      <c r="D109" s="10" t="s">
        <v>23</v>
      </c>
      <c r="E109" s="10" t="s">
        <v>22</v>
      </c>
      <c r="F109" s="12">
        <v>1</v>
      </c>
      <c r="G109" s="10" t="s">
        <v>14</v>
      </c>
      <c r="H109" s="10"/>
      <c r="I109" s="9">
        <f>+J109/60</f>
        <v>1</v>
      </c>
      <c r="J109" s="14">
        <v>60</v>
      </c>
    </row>
    <row r="110" spans="1:10" x14ac:dyDescent="0.3">
      <c r="A110" s="13" t="s">
        <v>97</v>
      </c>
      <c r="C110" s="6" t="s">
        <v>8</v>
      </c>
      <c r="D110" s="10" t="s">
        <v>91</v>
      </c>
      <c r="E110" s="10" t="s">
        <v>63</v>
      </c>
      <c r="F110" s="12">
        <v>1</v>
      </c>
      <c r="G110" s="6" t="s">
        <v>90</v>
      </c>
      <c r="H110" s="10"/>
      <c r="I110" s="28">
        <f>+J110/60</f>
        <v>0.1</v>
      </c>
      <c r="J110" s="8">
        <v>6</v>
      </c>
    </row>
    <row r="111" spans="1:10" x14ac:dyDescent="0.3">
      <c r="A111" s="13" t="s">
        <v>64</v>
      </c>
      <c r="C111" s="6" t="s">
        <v>80</v>
      </c>
      <c r="D111" s="10" t="s">
        <v>46</v>
      </c>
      <c r="E111" s="10" t="s">
        <v>41</v>
      </c>
      <c r="F111" s="15">
        <v>0.4</v>
      </c>
      <c r="G111" s="10" t="s">
        <v>61</v>
      </c>
      <c r="H111" s="10"/>
      <c r="I111" s="9">
        <f>+J111/60</f>
        <v>0.23497630331753552</v>
      </c>
      <c r="J111" s="14">
        <v>14.098578199052131</v>
      </c>
    </row>
    <row r="112" spans="1:10" x14ac:dyDescent="0.3">
      <c r="A112" s="13" t="s">
        <v>64</v>
      </c>
      <c r="C112" s="6" t="s">
        <v>80</v>
      </c>
      <c r="D112" s="10" t="s">
        <v>46</v>
      </c>
      <c r="E112" s="10" t="s">
        <v>54</v>
      </c>
      <c r="F112" s="15">
        <v>0.6</v>
      </c>
      <c r="G112" s="10" t="s">
        <v>61</v>
      </c>
      <c r="H112" s="10"/>
      <c r="I112" s="9">
        <f>+J112/60</f>
        <v>0.23497630331753552</v>
      </c>
      <c r="J112" s="14">
        <v>14.098578199052131</v>
      </c>
    </row>
    <row r="113" spans="1:10" x14ac:dyDescent="0.3">
      <c r="A113" s="13" t="s">
        <v>38</v>
      </c>
      <c r="C113" s="6" t="s">
        <v>78</v>
      </c>
      <c r="D113" s="10" t="s">
        <v>23</v>
      </c>
      <c r="E113" s="10" t="s">
        <v>22</v>
      </c>
      <c r="F113" s="15">
        <v>1</v>
      </c>
      <c r="G113" s="10" t="s">
        <v>6</v>
      </c>
      <c r="H113" s="10"/>
      <c r="I113" s="9">
        <f>+J113/60</f>
        <v>1</v>
      </c>
      <c r="J113" s="14">
        <v>60</v>
      </c>
    </row>
    <row r="114" spans="1:10" x14ac:dyDescent="0.3">
      <c r="A114" s="13" t="s">
        <v>96</v>
      </c>
      <c r="C114" s="6" t="s">
        <v>8</v>
      </c>
      <c r="D114" s="10" t="s">
        <v>91</v>
      </c>
      <c r="E114" s="10" t="s">
        <v>63</v>
      </c>
      <c r="F114" s="12">
        <v>1</v>
      </c>
      <c r="G114" s="6" t="s">
        <v>14</v>
      </c>
      <c r="H114" s="10"/>
      <c r="I114" s="28">
        <f>+J114/60</f>
        <v>3.3333333333333333E-2</v>
      </c>
      <c r="J114" s="8">
        <v>2</v>
      </c>
    </row>
    <row r="115" spans="1:10" x14ac:dyDescent="0.3">
      <c r="A115" s="13" t="s">
        <v>62</v>
      </c>
      <c r="C115" s="6" t="s">
        <v>80</v>
      </c>
      <c r="D115" s="10" t="s">
        <v>46</v>
      </c>
      <c r="E115" s="10" t="s">
        <v>41</v>
      </c>
      <c r="F115" s="15">
        <v>0.4</v>
      </c>
      <c r="G115" s="10" t="s">
        <v>61</v>
      </c>
      <c r="H115" s="10"/>
      <c r="I115" s="9">
        <f>+J115/60</f>
        <v>0.13333333333333333</v>
      </c>
      <c r="J115" s="14">
        <v>8</v>
      </c>
    </row>
    <row r="116" spans="1:10" x14ac:dyDescent="0.3">
      <c r="A116" s="13" t="s">
        <v>62</v>
      </c>
      <c r="C116" s="6" t="s">
        <v>80</v>
      </c>
      <c r="D116" s="10" t="s">
        <v>46</v>
      </c>
      <c r="E116" s="10" t="s">
        <v>54</v>
      </c>
      <c r="F116" s="12">
        <v>0.6</v>
      </c>
      <c r="G116" s="10" t="s">
        <v>61</v>
      </c>
      <c r="H116" s="10"/>
      <c r="I116" s="9">
        <f>+J116/60</f>
        <v>0.13333333333333333</v>
      </c>
      <c r="J116" s="14">
        <v>8</v>
      </c>
    </row>
    <row r="117" spans="1:10" x14ac:dyDescent="0.3">
      <c r="A117" s="13" t="s">
        <v>37</v>
      </c>
      <c r="C117" s="6" t="s">
        <v>78</v>
      </c>
      <c r="D117" s="10" t="s">
        <v>23</v>
      </c>
      <c r="E117" s="10" t="s">
        <v>22</v>
      </c>
      <c r="F117" s="15">
        <v>1</v>
      </c>
      <c r="G117" s="10" t="s">
        <v>6</v>
      </c>
      <c r="H117" s="10"/>
      <c r="I117" s="9">
        <f>+J117/60</f>
        <v>0.75</v>
      </c>
      <c r="J117" s="14">
        <v>45</v>
      </c>
    </row>
    <row r="118" spans="1:10" x14ac:dyDescent="0.3">
      <c r="A118" s="13" t="s">
        <v>95</v>
      </c>
      <c r="B118" t="s">
        <v>9</v>
      </c>
      <c r="C118" s="6" t="s">
        <v>8</v>
      </c>
      <c r="D118" s="10" t="s">
        <v>91</v>
      </c>
      <c r="E118" s="10" t="s">
        <v>63</v>
      </c>
      <c r="F118" s="15">
        <v>1</v>
      </c>
      <c r="G118" s="6" t="s">
        <v>6</v>
      </c>
      <c r="H118" s="10" t="s">
        <v>60</v>
      </c>
      <c r="I118" s="28">
        <f>+J118/60</f>
        <v>9.0000000000000011E-2</v>
      </c>
      <c r="J118" s="8">
        <v>5.4</v>
      </c>
    </row>
    <row r="119" spans="1:10" x14ac:dyDescent="0.3">
      <c r="A119" s="29" t="s">
        <v>94</v>
      </c>
      <c r="B119" t="s">
        <v>9</v>
      </c>
      <c r="C119" s="6" t="s">
        <v>80</v>
      </c>
      <c r="D119" s="10" t="s">
        <v>46</v>
      </c>
      <c r="E119" s="10" t="s">
        <v>54</v>
      </c>
      <c r="F119" s="12">
        <v>0.6</v>
      </c>
      <c r="G119" s="6" t="s">
        <v>14</v>
      </c>
      <c r="H119" s="10"/>
      <c r="I119" s="9">
        <f>+J119/60</f>
        <v>1.6666666666666666E-2</v>
      </c>
      <c r="J119" s="17">
        <v>1</v>
      </c>
    </row>
    <row r="120" spans="1:10" x14ac:dyDescent="0.3">
      <c r="A120" s="13" t="s">
        <v>36</v>
      </c>
      <c r="C120" s="6" t="s">
        <v>78</v>
      </c>
      <c r="D120" s="10" t="s">
        <v>23</v>
      </c>
      <c r="E120" s="10" t="s">
        <v>22</v>
      </c>
      <c r="F120" s="15">
        <v>1</v>
      </c>
      <c r="G120" s="10" t="s">
        <v>60</v>
      </c>
      <c r="H120" s="10"/>
      <c r="I120" s="9">
        <f>+J120/60</f>
        <v>0.75</v>
      </c>
      <c r="J120" s="18">
        <v>45</v>
      </c>
    </row>
    <row r="121" spans="1:10" x14ac:dyDescent="0.3">
      <c r="A121" s="13" t="s">
        <v>93</v>
      </c>
      <c r="C121" s="6" t="s">
        <v>80</v>
      </c>
      <c r="D121" s="10" t="s">
        <v>46</v>
      </c>
      <c r="E121" s="10" t="s">
        <v>41</v>
      </c>
      <c r="F121" s="12">
        <v>0.4</v>
      </c>
      <c r="G121" s="10" t="s">
        <v>6</v>
      </c>
      <c r="H121" s="10"/>
      <c r="I121" s="9">
        <f>+J121/60</f>
        <v>0.2</v>
      </c>
      <c r="J121" s="14">
        <v>12</v>
      </c>
    </row>
    <row r="122" spans="1:10" x14ac:dyDescent="0.3">
      <c r="A122" s="13" t="s">
        <v>92</v>
      </c>
      <c r="C122" s="6" t="s">
        <v>8</v>
      </c>
      <c r="D122" s="10" t="s">
        <v>91</v>
      </c>
      <c r="E122" s="10" t="s">
        <v>63</v>
      </c>
      <c r="F122" s="20">
        <v>1</v>
      </c>
      <c r="G122" s="6" t="s">
        <v>16</v>
      </c>
      <c r="H122" s="10" t="s">
        <v>90</v>
      </c>
      <c r="I122" s="28">
        <f>+J122/60</f>
        <v>0.16160909090909092</v>
      </c>
      <c r="J122" s="8">
        <v>9.6965454545454559</v>
      </c>
    </row>
    <row r="123" spans="1:10" x14ac:dyDescent="0.3">
      <c r="A123" s="27" t="s">
        <v>28</v>
      </c>
      <c r="B123" t="s">
        <v>75</v>
      </c>
      <c r="C123" s="26" t="s">
        <v>89</v>
      </c>
      <c r="D123" s="19" t="s">
        <v>23</v>
      </c>
      <c r="E123" s="19" t="s">
        <v>73</v>
      </c>
      <c r="F123" s="25">
        <v>1</v>
      </c>
      <c r="G123" s="19" t="s">
        <v>60</v>
      </c>
      <c r="H123" s="19"/>
      <c r="I123" s="24">
        <f>+J123/60</f>
        <v>2</v>
      </c>
      <c r="J123" s="23">
        <v>120</v>
      </c>
    </row>
    <row r="124" spans="1:10" x14ac:dyDescent="0.3">
      <c r="A124" s="13" t="s">
        <v>86</v>
      </c>
      <c r="B124" t="s">
        <v>88</v>
      </c>
      <c r="C124" s="6" t="s">
        <v>3</v>
      </c>
      <c r="D124" s="10" t="s">
        <v>65</v>
      </c>
      <c r="E124" s="10" t="s">
        <v>63</v>
      </c>
      <c r="F124" s="15">
        <v>1</v>
      </c>
      <c r="G124" s="10" t="s">
        <v>87</v>
      </c>
      <c r="H124" s="10"/>
      <c r="I124" s="9">
        <f>+J124/60</f>
        <v>4.5</v>
      </c>
      <c r="J124" s="8">
        <v>270</v>
      </c>
    </row>
    <row r="125" spans="1:10" x14ac:dyDescent="0.3">
      <c r="A125" s="7" t="s">
        <v>86</v>
      </c>
      <c r="B125" t="s">
        <v>85</v>
      </c>
      <c r="C125" s="4" t="s">
        <v>3</v>
      </c>
      <c r="D125" s="3" t="s">
        <v>84</v>
      </c>
      <c r="E125" s="3" t="s">
        <v>63</v>
      </c>
      <c r="F125" s="22">
        <v>1</v>
      </c>
      <c r="G125" s="3" t="s">
        <v>83</v>
      </c>
      <c r="H125" s="3"/>
      <c r="I125" s="21">
        <f>+J125/60</f>
        <v>4.5</v>
      </c>
      <c r="J125" s="1">
        <v>270</v>
      </c>
    </row>
    <row r="126" spans="1:10" x14ac:dyDescent="0.3">
      <c r="A126" s="13" t="s">
        <v>82</v>
      </c>
      <c r="C126" s="6" t="s">
        <v>3</v>
      </c>
      <c r="D126" s="10" t="s">
        <v>65</v>
      </c>
      <c r="E126" s="10" t="s">
        <v>63</v>
      </c>
      <c r="F126" s="12">
        <v>0.4</v>
      </c>
      <c r="G126" s="11" t="s">
        <v>6</v>
      </c>
      <c r="H126" s="10"/>
      <c r="I126" s="9">
        <f>+J126/60</f>
        <v>0.23497630331753552</v>
      </c>
      <c r="J126" s="8">
        <v>14.098578199052131</v>
      </c>
    </row>
    <row r="127" spans="1:10" x14ac:dyDescent="0.3">
      <c r="A127" s="13" t="s">
        <v>82</v>
      </c>
      <c r="C127" s="6" t="s">
        <v>3</v>
      </c>
      <c r="D127" s="10" t="s">
        <v>65</v>
      </c>
      <c r="E127" s="10" t="s">
        <v>22</v>
      </c>
      <c r="F127" s="12">
        <v>0.6</v>
      </c>
      <c r="G127" s="6" t="s">
        <v>14</v>
      </c>
      <c r="H127" s="10"/>
      <c r="I127" s="9">
        <f>+J127/60</f>
        <v>0.23497630331753552</v>
      </c>
      <c r="J127" s="8">
        <v>14.098578199052131</v>
      </c>
    </row>
    <row r="128" spans="1:10" x14ac:dyDescent="0.3">
      <c r="A128" s="13" t="s">
        <v>81</v>
      </c>
      <c r="C128" s="6" t="s">
        <v>80</v>
      </c>
      <c r="D128" s="10" t="s">
        <v>46</v>
      </c>
      <c r="E128" s="10" t="s">
        <v>41</v>
      </c>
      <c r="F128" s="12">
        <v>0.4</v>
      </c>
      <c r="G128" s="6" t="s">
        <v>14</v>
      </c>
      <c r="H128" s="10"/>
      <c r="I128" s="9">
        <f>+J128/60</f>
        <v>3.3333333333333333E-2</v>
      </c>
      <c r="J128" s="17">
        <v>2</v>
      </c>
    </row>
    <row r="129" spans="1:10" x14ac:dyDescent="0.3">
      <c r="A129" s="13" t="s">
        <v>27</v>
      </c>
      <c r="C129" s="6" t="s">
        <v>78</v>
      </c>
      <c r="D129" s="10" t="s">
        <v>23</v>
      </c>
      <c r="E129" s="10" t="s">
        <v>22</v>
      </c>
      <c r="F129" s="12">
        <v>1</v>
      </c>
      <c r="G129" s="10" t="s">
        <v>6</v>
      </c>
      <c r="H129" s="10"/>
      <c r="I129" s="9">
        <f>+J129/60</f>
        <v>0.75</v>
      </c>
      <c r="J129" s="14">
        <v>45</v>
      </c>
    </row>
    <row r="130" spans="1:10" x14ac:dyDescent="0.3">
      <c r="A130" s="13" t="s">
        <v>29</v>
      </c>
      <c r="C130" s="6" t="s">
        <v>55</v>
      </c>
      <c r="D130" s="10" t="s">
        <v>23</v>
      </c>
      <c r="E130" s="10" t="s">
        <v>41</v>
      </c>
      <c r="F130" s="15">
        <v>0.4</v>
      </c>
      <c r="G130" s="10" t="s">
        <v>14</v>
      </c>
      <c r="H130" s="10"/>
      <c r="I130" s="9">
        <f>+J130/60</f>
        <v>9.5238095238095219E-2</v>
      </c>
      <c r="J130" s="14">
        <v>5.7142857142857135</v>
      </c>
    </row>
    <row r="131" spans="1:10" x14ac:dyDescent="0.3">
      <c r="A131" s="13" t="s">
        <v>59</v>
      </c>
      <c r="C131" s="6" t="s">
        <v>3</v>
      </c>
      <c r="D131" s="10" t="s">
        <v>65</v>
      </c>
      <c r="E131" s="10" t="s">
        <v>22</v>
      </c>
      <c r="F131" s="12">
        <v>0.6</v>
      </c>
      <c r="G131" s="11" t="s">
        <v>6</v>
      </c>
      <c r="H131" s="10"/>
      <c r="I131" s="9">
        <f>+J131/60</f>
        <v>0.21214285714285716</v>
      </c>
      <c r="J131" s="8">
        <v>12.72857142857143</v>
      </c>
    </row>
    <row r="132" spans="1:10" x14ac:dyDescent="0.3">
      <c r="A132" s="13" t="s">
        <v>79</v>
      </c>
      <c r="C132" s="6" t="s">
        <v>3</v>
      </c>
      <c r="D132" s="10" t="s">
        <v>65</v>
      </c>
      <c r="E132" s="10" t="s">
        <v>1</v>
      </c>
      <c r="F132" s="15">
        <v>1</v>
      </c>
      <c r="G132" s="6" t="s">
        <v>14</v>
      </c>
      <c r="H132" s="10"/>
      <c r="I132" s="9">
        <f>+J132/60</f>
        <v>0.11666666666666667</v>
      </c>
      <c r="J132" s="10">
        <v>7</v>
      </c>
    </row>
    <row r="133" spans="1:10" x14ac:dyDescent="0.3">
      <c r="A133" s="13" t="s">
        <v>44</v>
      </c>
      <c r="C133" s="6" t="s">
        <v>55</v>
      </c>
      <c r="D133" s="10" t="s">
        <v>23</v>
      </c>
      <c r="E133" s="10" t="s">
        <v>41</v>
      </c>
      <c r="F133" s="12">
        <v>0.4</v>
      </c>
      <c r="G133" s="6" t="s">
        <v>14</v>
      </c>
      <c r="H133" s="10"/>
      <c r="I133" s="9">
        <f>+J133/60</f>
        <v>8.3333333333333329E-2</v>
      </c>
      <c r="J133" s="18">
        <v>5</v>
      </c>
    </row>
    <row r="134" spans="1:10" x14ac:dyDescent="0.3">
      <c r="A134" s="13" t="s">
        <v>56</v>
      </c>
      <c r="C134" s="6" t="s">
        <v>78</v>
      </c>
      <c r="D134" s="10" t="s">
        <v>23</v>
      </c>
      <c r="E134" s="10" t="s">
        <v>22</v>
      </c>
      <c r="F134" s="20">
        <v>1</v>
      </c>
      <c r="G134" s="10" t="s">
        <v>6</v>
      </c>
      <c r="H134" s="10"/>
      <c r="I134" s="9">
        <f>+J134/60</f>
        <v>1.25</v>
      </c>
      <c r="J134" s="14">
        <v>75</v>
      </c>
    </row>
    <row r="135" spans="1:10" x14ac:dyDescent="0.3">
      <c r="A135" s="13" t="s">
        <v>24</v>
      </c>
      <c r="C135" s="6" t="s">
        <v>78</v>
      </c>
      <c r="D135" s="10" t="s">
        <v>23</v>
      </c>
      <c r="E135" s="10" t="s">
        <v>22</v>
      </c>
      <c r="F135" s="12">
        <v>1</v>
      </c>
      <c r="G135" s="10" t="s">
        <v>6</v>
      </c>
      <c r="H135" s="10"/>
      <c r="I135" s="9">
        <f>+J135/60</f>
        <v>1</v>
      </c>
      <c r="J135" s="14">
        <v>60</v>
      </c>
    </row>
    <row r="136" spans="1:10" x14ac:dyDescent="0.3">
      <c r="A136" s="13" t="s">
        <v>77</v>
      </c>
      <c r="C136" s="6" t="s">
        <v>3</v>
      </c>
      <c r="D136" s="10" t="s">
        <v>65</v>
      </c>
      <c r="E136" s="10" t="s">
        <v>1</v>
      </c>
      <c r="F136" s="15">
        <v>1</v>
      </c>
      <c r="G136" s="6" t="s">
        <v>14</v>
      </c>
      <c r="H136" s="10"/>
      <c r="I136" s="9">
        <f>+J136/60</f>
        <v>1.6666666666666666E-2</v>
      </c>
      <c r="J136" s="8">
        <v>1</v>
      </c>
    </row>
    <row r="137" spans="1:10" x14ac:dyDescent="0.3">
      <c r="A137" s="13" t="s">
        <v>76</v>
      </c>
      <c r="C137" s="6" t="s">
        <v>55</v>
      </c>
      <c r="D137" s="10" t="s">
        <v>23</v>
      </c>
      <c r="E137" s="10" t="s">
        <v>54</v>
      </c>
      <c r="F137" s="15">
        <v>1</v>
      </c>
      <c r="G137" s="10" t="s">
        <v>14</v>
      </c>
      <c r="H137" s="10"/>
      <c r="I137" s="9">
        <f>+J137/60</f>
        <v>6</v>
      </c>
      <c r="J137" s="14">
        <v>360</v>
      </c>
    </row>
    <row r="138" spans="1:10" x14ac:dyDescent="0.3">
      <c r="A138" s="13" t="s">
        <v>52</v>
      </c>
      <c r="B138" t="s">
        <v>75</v>
      </c>
      <c r="C138" s="6" t="s">
        <v>74</v>
      </c>
      <c r="D138" s="10" t="s">
        <v>50</v>
      </c>
      <c r="E138" s="10" t="s">
        <v>73</v>
      </c>
      <c r="F138" s="12">
        <v>1</v>
      </c>
      <c r="G138" s="10" t="s">
        <v>49</v>
      </c>
      <c r="H138" s="10"/>
      <c r="I138" s="9">
        <f>+J138/60</f>
        <v>3</v>
      </c>
      <c r="J138" s="17">
        <v>180</v>
      </c>
    </row>
    <row r="139" spans="1:10" x14ac:dyDescent="0.3">
      <c r="A139" s="13" t="s">
        <v>72</v>
      </c>
      <c r="C139" s="6" t="s">
        <v>3</v>
      </c>
      <c r="D139" s="10" t="s">
        <v>65</v>
      </c>
      <c r="E139" s="10" t="s">
        <v>1</v>
      </c>
      <c r="F139" s="15">
        <v>1</v>
      </c>
      <c r="G139" s="10" t="s">
        <v>0</v>
      </c>
      <c r="H139" s="10"/>
      <c r="I139" s="9">
        <f>+J139/60</f>
        <v>3.3333333333333333E-2</v>
      </c>
      <c r="J139" s="8">
        <v>2</v>
      </c>
    </row>
    <row r="140" spans="1:10" x14ac:dyDescent="0.3">
      <c r="A140" s="13" t="s">
        <v>71</v>
      </c>
      <c r="C140" s="6" t="s">
        <v>55</v>
      </c>
      <c r="D140" s="10" t="s">
        <v>23</v>
      </c>
      <c r="E140" s="10" t="s">
        <v>54</v>
      </c>
      <c r="F140" s="15">
        <v>0.6</v>
      </c>
      <c r="G140" s="10" t="s">
        <v>6</v>
      </c>
      <c r="H140" s="10"/>
      <c r="I140" s="9">
        <f>+J140/60</f>
        <v>0.08</v>
      </c>
      <c r="J140" s="14">
        <v>4.8</v>
      </c>
    </row>
    <row r="141" spans="1:10" x14ac:dyDescent="0.3">
      <c r="A141" s="13" t="s">
        <v>70</v>
      </c>
      <c r="C141" s="6" t="s">
        <v>3</v>
      </c>
      <c r="D141" s="10" t="s">
        <v>65</v>
      </c>
      <c r="E141" s="10" t="s">
        <v>1</v>
      </c>
      <c r="F141" s="12">
        <v>1</v>
      </c>
      <c r="G141" s="11" t="s">
        <v>6</v>
      </c>
      <c r="H141" s="10"/>
      <c r="I141" s="9">
        <f>+J141/60</f>
        <v>1.254</v>
      </c>
      <c r="J141" s="8">
        <v>75.239999999999995</v>
      </c>
    </row>
    <row r="142" spans="1:10" x14ac:dyDescent="0.3">
      <c r="A142" s="13" t="s">
        <v>37</v>
      </c>
      <c r="C142" s="6" t="s">
        <v>55</v>
      </c>
      <c r="D142" s="10" t="s">
        <v>23</v>
      </c>
      <c r="E142" s="10" t="s">
        <v>54</v>
      </c>
      <c r="F142" s="15">
        <v>0.6</v>
      </c>
      <c r="G142" s="10" t="s">
        <v>6</v>
      </c>
      <c r="H142" s="10"/>
      <c r="I142" s="9">
        <f>+J142/60</f>
        <v>0.18000000000000002</v>
      </c>
      <c r="J142" s="14">
        <v>10.8</v>
      </c>
    </row>
    <row r="143" spans="1:10" x14ac:dyDescent="0.3">
      <c r="A143" s="13" t="s">
        <v>69</v>
      </c>
      <c r="C143" s="6" t="s">
        <v>3</v>
      </c>
      <c r="D143" s="10" t="s">
        <v>65</v>
      </c>
      <c r="E143" s="10" t="s">
        <v>1</v>
      </c>
      <c r="F143" s="12">
        <v>1</v>
      </c>
      <c r="G143" s="11" t="s">
        <v>6</v>
      </c>
      <c r="H143" s="10"/>
      <c r="I143" s="9">
        <f>+J143/60</f>
        <v>0.3175</v>
      </c>
      <c r="J143" s="8">
        <v>19.05</v>
      </c>
    </row>
    <row r="144" spans="1:10" x14ac:dyDescent="0.3">
      <c r="A144" s="13" t="s">
        <v>36</v>
      </c>
      <c r="C144" s="6" t="s">
        <v>55</v>
      </c>
      <c r="D144" s="10" t="s">
        <v>23</v>
      </c>
      <c r="E144" s="10" t="s">
        <v>54</v>
      </c>
      <c r="F144" s="15">
        <v>0.6</v>
      </c>
      <c r="G144" s="19" t="s">
        <v>60</v>
      </c>
      <c r="H144" s="10"/>
      <c r="I144" s="9">
        <f>+J144/60</f>
        <v>0.10391666666666666</v>
      </c>
      <c r="J144" s="18">
        <v>6.2349999999999994</v>
      </c>
    </row>
    <row r="145" spans="1:10" x14ac:dyDescent="0.3">
      <c r="A145" s="13" t="s">
        <v>68</v>
      </c>
      <c r="C145" s="6" t="s">
        <v>3</v>
      </c>
      <c r="D145" s="10" t="s">
        <v>65</v>
      </c>
      <c r="E145" s="10" t="s">
        <v>1</v>
      </c>
      <c r="F145" s="12">
        <v>1</v>
      </c>
      <c r="G145" s="10" t="s">
        <v>0</v>
      </c>
      <c r="H145" s="10"/>
      <c r="I145" s="9">
        <f>+J145/60</f>
        <v>6.6666666666666666E-2</v>
      </c>
      <c r="J145" s="8">
        <v>4</v>
      </c>
    </row>
    <row r="146" spans="1:10" x14ac:dyDescent="0.3">
      <c r="A146" s="13" t="s">
        <v>67</v>
      </c>
      <c r="C146" s="6" t="s">
        <v>55</v>
      </c>
      <c r="D146" s="10" t="s">
        <v>23</v>
      </c>
      <c r="E146" s="10" t="s">
        <v>54</v>
      </c>
      <c r="F146" s="15">
        <v>0.6</v>
      </c>
      <c r="G146" s="10" t="s">
        <v>14</v>
      </c>
      <c r="H146" s="10"/>
      <c r="I146" s="9">
        <f>+J146/60</f>
        <v>8.3333333333333332E-3</v>
      </c>
      <c r="J146" s="18">
        <v>0.5</v>
      </c>
    </row>
    <row r="147" spans="1:10" x14ac:dyDescent="0.3">
      <c r="A147" s="13" t="s">
        <v>66</v>
      </c>
      <c r="C147" s="6" t="s">
        <v>3</v>
      </c>
      <c r="D147" s="10" t="s">
        <v>65</v>
      </c>
      <c r="E147" s="10" t="s">
        <v>1</v>
      </c>
      <c r="F147" s="15">
        <v>1</v>
      </c>
      <c r="G147" s="10" t="s">
        <v>0</v>
      </c>
      <c r="H147" s="10"/>
      <c r="I147" s="9">
        <f>+J147/60</f>
        <v>0.45454545454545453</v>
      </c>
      <c r="J147" s="8">
        <v>27.272727272727273</v>
      </c>
    </row>
    <row r="148" spans="1:10" x14ac:dyDescent="0.3">
      <c r="A148" s="13" t="s">
        <v>33</v>
      </c>
      <c r="C148" s="6" t="s">
        <v>55</v>
      </c>
      <c r="D148" s="10" t="s">
        <v>23</v>
      </c>
      <c r="E148" s="10" t="s">
        <v>41</v>
      </c>
      <c r="F148" s="12">
        <v>0.4</v>
      </c>
      <c r="G148" s="10" t="s">
        <v>6</v>
      </c>
      <c r="H148" s="10"/>
      <c r="I148" s="9">
        <f>+J148/60</f>
        <v>0.3175</v>
      </c>
      <c r="J148" s="14">
        <v>19.05</v>
      </c>
    </row>
    <row r="149" spans="1:10" x14ac:dyDescent="0.3">
      <c r="A149" s="13" t="s">
        <v>48</v>
      </c>
      <c r="C149" s="6" t="s">
        <v>3</v>
      </c>
      <c r="D149" s="10" t="s">
        <v>65</v>
      </c>
      <c r="E149" s="10" t="s">
        <v>1</v>
      </c>
      <c r="F149" s="15">
        <v>1</v>
      </c>
      <c r="G149" s="11" t="s">
        <v>6</v>
      </c>
      <c r="H149" s="10"/>
      <c r="I149" s="9">
        <f>+J149/60</f>
        <v>0.2</v>
      </c>
      <c r="J149" s="8">
        <v>12</v>
      </c>
    </row>
    <row r="150" spans="1:10" x14ac:dyDescent="0.3">
      <c r="A150" s="13" t="s">
        <v>30</v>
      </c>
      <c r="C150" s="6" t="s">
        <v>55</v>
      </c>
      <c r="D150" s="10" t="s">
        <v>23</v>
      </c>
      <c r="E150" s="10" t="s">
        <v>41</v>
      </c>
      <c r="F150" s="12">
        <v>0.4</v>
      </c>
      <c r="G150" s="6" t="s">
        <v>14</v>
      </c>
      <c r="H150" s="10"/>
      <c r="I150" s="9">
        <f>+J150/60</f>
        <v>1.6666666666666666E-2</v>
      </c>
      <c r="J150" s="17">
        <v>1</v>
      </c>
    </row>
    <row r="151" spans="1:10" x14ac:dyDescent="0.3">
      <c r="A151" s="13" t="s">
        <v>29</v>
      </c>
      <c r="C151" s="6" t="s">
        <v>55</v>
      </c>
      <c r="D151" s="10" t="s">
        <v>23</v>
      </c>
      <c r="E151" s="10" t="s">
        <v>41</v>
      </c>
      <c r="F151" s="15">
        <v>0.4</v>
      </c>
      <c r="G151" s="10" t="s">
        <v>14</v>
      </c>
      <c r="H151" s="10"/>
      <c r="I151" s="9">
        <f>+J151/60</f>
        <v>9.5238095238095219E-2</v>
      </c>
      <c r="J151" s="14">
        <v>5.7142857142857135</v>
      </c>
    </row>
    <row r="152" spans="1:10" x14ac:dyDescent="0.3">
      <c r="A152" s="13" t="s">
        <v>64</v>
      </c>
      <c r="C152" s="6" t="s">
        <v>47</v>
      </c>
      <c r="D152" s="10" t="s">
        <v>46</v>
      </c>
      <c r="E152" s="10" t="s">
        <v>63</v>
      </c>
      <c r="F152" s="12">
        <v>0.4</v>
      </c>
      <c r="G152" s="6" t="s">
        <v>61</v>
      </c>
      <c r="H152" s="10"/>
      <c r="I152" s="9">
        <f>+J152/60</f>
        <v>0.23497630331753552</v>
      </c>
      <c r="J152" s="8">
        <v>14.098578199052131</v>
      </c>
    </row>
    <row r="153" spans="1:10" x14ac:dyDescent="0.3">
      <c r="A153" s="13" t="s">
        <v>64</v>
      </c>
      <c r="C153" s="6" t="s">
        <v>47</v>
      </c>
      <c r="D153" s="10" t="s">
        <v>46</v>
      </c>
      <c r="E153" s="10" t="s">
        <v>22</v>
      </c>
      <c r="F153" s="12">
        <v>0.6</v>
      </c>
      <c r="G153" s="6" t="s">
        <v>61</v>
      </c>
      <c r="H153" s="10"/>
      <c r="I153" s="9">
        <f>+J153/60</f>
        <v>0.23497630331753552</v>
      </c>
      <c r="J153" s="8">
        <v>14.098578199052131</v>
      </c>
    </row>
    <row r="154" spans="1:10" x14ac:dyDescent="0.3">
      <c r="A154" s="13" t="s">
        <v>62</v>
      </c>
      <c r="C154" s="6" t="s">
        <v>47</v>
      </c>
      <c r="D154" s="10" t="s">
        <v>46</v>
      </c>
      <c r="E154" s="10" t="s">
        <v>63</v>
      </c>
      <c r="F154" s="12">
        <v>0.4</v>
      </c>
      <c r="G154" s="11" t="s">
        <v>61</v>
      </c>
      <c r="H154" s="10"/>
      <c r="I154" s="9">
        <f>+J154/60</f>
        <v>0.13333333333333333</v>
      </c>
      <c r="J154" s="8">
        <v>8</v>
      </c>
    </row>
    <row r="155" spans="1:10" x14ac:dyDescent="0.3">
      <c r="A155" s="13" t="s">
        <v>62</v>
      </c>
      <c r="C155" s="6" t="s">
        <v>47</v>
      </c>
      <c r="D155" s="10" t="s">
        <v>46</v>
      </c>
      <c r="E155" s="10" t="s">
        <v>22</v>
      </c>
      <c r="F155" s="12">
        <v>0.6</v>
      </c>
      <c r="G155" s="11" t="s">
        <v>61</v>
      </c>
      <c r="H155" s="10"/>
      <c r="I155" s="9">
        <f>+J155/60</f>
        <v>0.13333333333333333</v>
      </c>
      <c r="J155" s="8">
        <v>8</v>
      </c>
    </row>
    <row r="156" spans="1:10" x14ac:dyDescent="0.3">
      <c r="A156" s="13" t="s">
        <v>28</v>
      </c>
      <c r="C156" s="6" t="s">
        <v>55</v>
      </c>
      <c r="D156" s="10" t="s">
        <v>23</v>
      </c>
      <c r="E156" s="10" t="s">
        <v>41</v>
      </c>
      <c r="F156" s="15">
        <v>0.4</v>
      </c>
      <c r="G156" s="19" t="s">
        <v>60</v>
      </c>
      <c r="H156" s="10"/>
      <c r="I156" s="9">
        <f>+J156/60</f>
        <v>1.6666666666666666E-2</v>
      </c>
      <c r="J156" s="18">
        <v>1</v>
      </c>
    </row>
    <row r="157" spans="1:10" x14ac:dyDescent="0.3">
      <c r="A157" s="13" t="s">
        <v>59</v>
      </c>
      <c r="C157" s="6" t="s">
        <v>47</v>
      </c>
      <c r="D157" s="10" t="s">
        <v>46</v>
      </c>
      <c r="E157" s="10" t="s">
        <v>22</v>
      </c>
      <c r="F157" s="12">
        <v>0.6</v>
      </c>
      <c r="G157" s="6" t="s">
        <v>14</v>
      </c>
      <c r="H157" s="10"/>
      <c r="I157" s="9">
        <f>+J157/60</f>
        <v>1.6666666666666666E-2</v>
      </c>
      <c r="J157" s="8">
        <v>1</v>
      </c>
    </row>
    <row r="158" spans="1:10" x14ac:dyDescent="0.3">
      <c r="A158" s="13" t="s">
        <v>27</v>
      </c>
      <c r="C158" s="6" t="s">
        <v>55</v>
      </c>
      <c r="D158" s="10" t="s">
        <v>23</v>
      </c>
      <c r="E158" s="10" t="s">
        <v>41</v>
      </c>
      <c r="F158" s="15">
        <v>0.4</v>
      </c>
      <c r="G158" s="10" t="s">
        <v>6</v>
      </c>
      <c r="H158" s="10"/>
      <c r="I158" s="9">
        <f>+J158/60</f>
        <v>0.17857142857142858</v>
      </c>
      <c r="J158" s="14">
        <v>10.714285714285715</v>
      </c>
    </row>
    <row r="159" spans="1:10" x14ac:dyDescent="0.3">
      <c r="A159" s="13" t="s">
        <v>58</v>
      </c>
      <c r="C159" s="6" t="s">
        <v>47</v>
      </c>
      <c r="D159" s="10" t="s">
        <v>46</v>
      </c>
      <c r="E159" s="10" t="s">
        <v>1</v>
      </c>
      <c r="F159" s="12">
        <v>1</v>
      </c>
      <c r="G159" s="6" t="s">
        <v>14</v>
      </c>
      <c r="H159" s="10"/>
      <c r="I159" s="9">
        <f>+J159/60</f>
        <v>3.3333333333333333E-2</v>
      </c>
      <c r="J159" s="8">
        <v>2</v>
      </c>
    </row>
    <row r="160" spans="1:10" x14ac:dyDescent="0.3">
      <c r="A160" s="13" t="s">
        <v>26</v>
      </c>
      <c r="C160" s="6" t="s">
        <v>55</v>
      </c>
      <c r="D160" s="10" t="s">
        <v>23</v>
      </c>
      <c r="E160" s="10" t="s">
        <v>41</v>
      </c>
      <c r="F160" s="15">
        <v>0.4</v>
      </c>
      <c r="G160" s="10" t="s">
        <v>6</v>
      </c>
      <c r="H160" s="10"/>
      <c r="I160" s="9">
        <f>+J160/60</f>
        <v>9.6438746438746434E-2</v>
      </c>
      <c r="J160" s="14">
        <v>5.7863247863247862</v>
      </c>
    </row>
    <row r="161" spans="1:10" x14ac:dyDescent="0.3">
      <c r="A161" s="13" t="s">
        <v>57</v>
      </c>
      <c r="C161" s="6" t="s">
        <v>47</v>
      </c>
      <c r="D161" s="10" t="s">
        <v>46</v>
      </c>
      <c r="E161" s="10" t="s">
        <v>1</v>
      </c>
      <c r="F161" s="15">
        <v>1</v>
      </c>
      <c r="G161" s="6" t="s">
        <v>14</v>
      </c>
      <c r="H161" s="10"/>
      <c r="I161" s="9">
        <f>+J161/60</f>
        <v>9.5238095238095219E-2</v>
      </c>
      <c r="J161" s="8">
        <v>5.7142857142857135</v>
      </c>
    </row>
    <row r="162" spans="1:10" x14ac:dyDescent="0.3">
      <c r="A162" s="13" t="s">
        <v>56</v>
      </c>
      <c r="C162" s="6" t="s">
        <v>55</v>
      </c>
      <c r="D162" s="10" t="s">
        <v>23</v>
      </c>
      <c r="E162" s="10" t="s">
        <v>41</v>
      </c>
      <c r="F162" s="12">
        <v>0.4</v>
      </c>
      <c r="G162" s="10" t="s">
        <v>6</v>
      </c>
      <c r="H162" s="10"/>
      <c r="I162" s="9">
        <f>+J162/60</f>
        <v>8.4444444444444447E-2</v>
      </c>
      <c r="J162" s="14">
        <v>5.0666666666666664</v>
      </c>
    </row>
    <row r="163" spans="1:10" x14ac:dyDescent="0.3">
      <c r="A163" s="13" t="s">
        <v>24</v>
      </c>
      <c r="C163" s="6" t="s">
        <v>55</v>
      </c>
      <c r="D163" s="10" t="s">
        <v>23</v>
      </c>
      <c r="E163" s="10" t="s">
        <v>41</v>
      </c>
      <c r="F163" s="15">
        <v>0.4</v>
      </c>
      <c r="G163" s="10" t="s">
        <v>6</v>
      </c>
      <c r="H163" s="10"/>
      <c r="I163" s="9">
        <f>+J163/60</f>
        <v>0.34628787878787876</v>
      </c>
      <c r="J163" s="14">
        <v>20.777272727272724</v>
      </c>
    </row>
    <row r="164" spans="1:10" x14ac:dyDescent="0.3">
      <c r="A164" s="13" t="s">
        <v>24</v>
      </c>
      <c r="C164" s="6" t="s">
        <v>55</v>
      </c>
      <c r="D164" s="10" t="s">
        <v>23</v>
      </c>
      <c r="E164" s="10" t="s">
        <v>54</v>
      </c>
      <c r="F164" s="15">
        <v>0.6</v>
      </c>
      <c r="G164" s="10" t="s">
        <v>6</v>
      </c>
      <c r="H164" s="10"/>
      <c r="I164" s="9">
        <f>+J164/60</f>
        <v>0.34628787878787876</v>
      </c>
      <c r="J164" s="14">
        <v>20.777272727272724</v>
      </c>
    </row>
    <row r="165" spans="1:10" x14ac:dyDescent="0.3">
      <c r="A165" s="13" t="s">
        <v>53</v>
      </c>
      <c r="C165" s="6" t="s">
        <v>47</v>
      </c>
      <c r="D165" s="10" t="s">
        <v>46</v>
      </c>
      <c r="E165" s="10" t="s">
        <v>1</v>
      </c>
      <c r="F165" s="12">
        <v>1</v>
      </c>
      <c r="G165" s="6" t="s">
        <v>14</v>
      </c>
      <c r="H165" s="10"/>
      <c r="I165" s="9">
        <f>+J165/60</f>
        <v>3.3333333333333333E-2</v>
      </c>
      <c r="J165" s="8">
        <v>2</v>
      </c>
    </row>
    <row r="166" spans="1:10" x14ac:dyDescent="0.3">
      <c r="A166" s="13" t="s">
        <v>52</v>
      </c>
      <c r="C166" s="6" t="s">
        <v>51</v>
      </c>
      <c r="D166" s="10" t="s">
        <v>50</v>
      </c>
      <c r="E166" s="10" t="s">
        <v>41</v>
      </c>
      <c r="F166" s="15">
        <v>1</v>
      </c>
      <c r="G166" s="10" t="s">
        <v>49</v>
      </c>
      <c r="H166" s="10"/>
      <c r="I166" s="9">
        <f>+J166/60</f>
        <v>3.3333333333333333E-2</v>
      </c>
      <c r="J166" s="17">
        <v>2</v>
      </c>
    </row>
    <row r="167" spans="1:10" x14ac:dyDescent="0.3">
      <c r="A167" s="13" t="s">
        <v>48</v>
      </c>
      <c r="C167" s="6" t="s">
        <v>47</v>
      </c>
      <c r="D167" s="10" t="s">
        <v>46</v>
      </c>
      <c r="E167" s="10" t="s">
        <v>1</v>
      </c>
      <c r="F167" s="12">
        <v>1</v>
      </c>
      <c r="G167" s="6" t="s">
        <v>14</v>
      </c>
      <c r="H167" s="10"/>
      <c r="I167" s="9">
        <f>+J167/60</f>
        <v>8.3333333333333329E-2</v>
      </c>
      <c r="J167" s="8">
        <v>5</v>
      </c>
    </row>
    <row r="168" spans="1:10" x14ac:dyDescent="0.3">
      <c r="A168" s="13" t="s">
        <v>12</v>
      </c>
      <c r="C168" s="6" t="s">
        <v>45</v>
      </c>
      <c r="D168" s="10" t="s">
        <v>2</v>
      </c>
      <c r="E168" s="10" t="s">
        <v>41</v>
      </c>
      <c r="F168" s="15">
        <v>0.4</v>
      </c>
      <c r="G168" s="10" t="s">
        <v>0</v>
      </c>
      <c r="H168" s="10"/>
      <c r="I168" s="9">
        <f>+J168/60</f>
        <v>2.0299999999999998</v>
      </c>
      <c r="J168" s="14">
        <v>121.79999999999998</v>
      </c>
    </row>
    <row r="169" spans="1:10" x14ac:dyDescent="0.3">
      <c r="A169" s="13" t="s">
        <v>44</v>
      </c>
      <c r="C169" s="6" t="s">
        <v>18</v>
      </c>
      <c r="D169" s="10" t="s">
        <v>23</v>
      </c>
      <c r="E169" s="10" t="s">
        <v>1</v>
      </c>
      <c r="F169" s="12">
        <v>1</v>
      </c>
      <c r="G169" s="6" t="s">
        <v>14</v>
      </c>
      <c r="H169" s="10"/>
      <c r="I169" s="9">
        <f>+J169/60</f>
        <v>8.3333333333333329E-2</v>
      </c>
      <c r="J169" s="8">
        <v>5</v>
      </c>
    </row>
    <row r="170" spans="1:10" x14ac:dyDescent="0.3">
      <c r="A170" s="13" t="s">
        <v>43</v>
      </c>
      <c r="B170" t="s">
        <v>9</v>
      </c>
      <c r="C170" s="16" t="s">
        <v>42</v>
      </c>
      <c r="D170" s="10" t="s">
        <v>2</v>
      </c>
      <c r="E170" s="10" t="s">
        <v>41</v>
      </c>
      <c r="F170" s="15">
        <v>1</v>
      </c>
      <c r="G170" s="10" t="s">
        <v>0</v>
      </c>
      <c r="H170" s="10"/>
      <c r="I170" s="9">
        <f>+J170/60</f>
        <v>1.4000000000000001</v>
      </c>
      <c r="J170" s="14">
        <v>84.000000000000014</v>
      </c>
    </row>
    <row r="171" spans="1:10" x14ac:dyDescent="0.3">
      <c r="A171" s="13" t="s">
        <v>40</v>
      </c>
      <c r="C171" s="6" t="s">
        <v>18</v>
      </c>
      <c r="D171" s="10" t="s">
        <v>23</v>
      </c>
      <c r="E171" s="10" t="s">
        <v>1</v>
      </c>
      <c r="F171" s="12">
        <v>1</v>
      </c>
      <c r="G171" s="6" t="s">
        <v>14</v>
      </c>
      <c r="H171" s="10"/>
      <c r="I171" s="9">
        <f>+J171/60</f>
        <v>6.6666666666666666E-2</v>
      </c>
      <c r="J171" s="8">
        <v>4</v>
      </c>
    </row>
    <row r="172" spans="1:10" x14ac:dyDescent="0.3">
      <c r="A172" s="13" t="s">
        <v>39</v>
      </c>
      <c r="C172" s="6" t="s">
        <v>18</v>
      </c>
      <c r="D172" s="10" t="s">
        <v>23</v>
      </c>
      <c r="E172" s="10" t="s">
        <v>1</v>
      </c>
      <c r="F172" s="12">
        <v>0.6</v>
      </c>
      <c r="G172" s="11" t="s">
        <v>14</v>
      </c>
      <c r="H172" s="10"/>
      <c r="I172" s="9">
        <f>+J172/60</f>
        <v>5.6060606060606061E-2</v>
      </c>
      <c r="J172" s="8">
        <v>3.3636363636363638</v>
      </c>
    </row>
    <row r="173" spans="1:10" x14ac:dyDescent="0.3">
      <c r="A173" s="13" t="s">
        <v>38</v>
      </c>
      <c r="C173" s="6" t="s">
        <v>18</v>
      </c>
      <c r="D173" s="10" t="s">
        <v>23</v>
      </c>
      <c r="E173" s="10" t="s">
        <v>22</v>
      </c>
      <c r="F173" s="12">
        <v>0.6</v>
      </c>
      <c r="G173" s="11" t="s">
        <v>6</v>
      </c>
      <c r="H173" s="10"/>
      <c r="I173" s="9">
        <f>+J173/60</f>
        <v>0.08</v>
      </c>
      <c r="J173" s="8">
        <v>4.8</v>
      </c>
    </row>
    <row r="174" spans="1:10" x14ac:dyDescent="0.3">
      <c r="A174" s="13" t="s">
        <v>37</v>
      </c>
      <c r="C174" s="6" t="s">
        <v>18</v>
      </c>
      <c r="D174" s="10" t="s">
        <v>23</v>
      </c>
      <c r="E174" s="10" t="s">
        <v>22</v>
      </c>
      <c r="F174" s="12">
        <v>0.6</v>
      </c>
      <c r="G174" s="11" t="s">
        <v>6</v>
      </c>
      <c r="H174" s="10"/>
      <c r="I174" s="9">
        <f>+J174/60</f>
        <v>0.18000000000000002</v>
      </c>
      <c r="J174" s="8">
        <v>10.8</v>
      </c>
    </row>
    <row r="175" spans="1:10" x14ac:dyDescent="0.3">
      <c r="A175" s="13" t="s">
        <v>36</v>
      </c>
      <c r="C175" s="6" t="s">
        <v>18</v>
      </c>
      <c r="D175" s="10" t="s">
        <v>23</v>
      </c>
      <c r="E175" s="10" t="s">
        <v>22</v>
      </c>
      <c r="F175" s="12">
        <v>0.6</v>
      </c>
      <c r="G175" s="10" t="s">
        <v>14</v>
      </c>
      <c r="H175" s="10"/>
      <c r="I175" s="9">
        <f>+J175/60</f>
        <v>0.10391666666666666</v>
      </c>
      <c r="J175" s="8">
        <v>6.2349999999999994</v>
      </c>
    </row>
    <row r="176" spans="1:10" x14ac:dyDescent="0.3">
      <c r="A176" s="13" t="s">
        <v>35</v>
      </c>
      <c r="C176" s="6" t="s">
        <v>18</v>
      </c>
      <c r="D176" s="10" t="s">
        <v>23</v>
      </c>
      <c r="E176" s="10" t="s">
        <v>1</v>
      </c>
      <c r="F176" s="12">
        <v>1</v>
      </c>
      <c r="G176" s="10" t="s">
        <v>14</v>
      </c>
      <c r="H176" s="10"/>
      <c r="I176" s="9">
        <f>+J176/60</f>
        <v>8.3333333333333332E-3</v>
      </c>
      <c r="J176" s="8">
        <v>0.5</v>
      </c>
    </row>
    <row r="177" spans="1:10" x14ac:dyDescent="0.3">
      <c r="A177" s="13" t="s">
        <v>34</v>
      </c>
      <c r="C177" s="6" t="s">
        <v>18</v>
      </c>
      <c r="D177" s="10" t="s">
        <v>23</v>
      </c>
      <c r="E177" s="10" t="s">
        <v>1</v>
      </c>
      <c r="F177" s="12">
        <v>1</v>
      </c>
      <c r="G177" s="11" t="s">
        <v>6</v>
      </c>
      <c r="H177" s="10"/>
      <c r="I177" s="9">
        <f>+J177/60</f>
        <v>0.05</v>
      </c>
      <c r="J177" s="8">
        <v>3</v>
      </c>
    </row>
    <row r="178" spans="1:10" x14ac:dyDescent="0.3">
      <c r="A178" s="13" t="s">
        <v>33</v>
      </c>
      <c r="C178" s="6" t="s">
        <v>18</v>
      </c>
      <c r="D178" s="10" t="s">
        <v>23</v>
      </c>
      <c r="E178" s="10" t="s">
        <v>1</v>
      </c>
      <c r="F178" s="12">
        <v>1</v>
      </c>
      <c r="G178" s="11" t="s">
        <v>6</v>
      </c>
      <c r="H178" s="10"/>
      <c r="I178" s="9">
        <f>+J178/60</f>
        <v>0.3175</v>
      </c>
      <c r="J178" s="8">
        <v>19.05</v>
      </c>
    </row>
    <row r="179" spans="1:10" x14ac:dyDescent="0.3">
      <c r="A179" s="13" t="s">
        <v>32</v>
      </c>
      <c r="C179" s="6" t="s">
        <v>18</v>
      </c>
      <c r="D179" s="10" t="s">
        <v>23</v>
      </c>
      <c r="E179" s="10" t="s">
        <v>1</v>
      </c>
      <c r="F179" s="12">
        <v>1</v>
      </c>
      <c r="G179" s="11" t="s">
        <v>6</v>
      </c>
      <c r="H179" s="10"/>
      <c r="I179" s="9">
        <f>+J179/60</f>
        <v>0.48888888888888887</v>
      </c>
      <c r="J179" s="8">
        <v>29.333333333333332</v>
      </c>
    </row>
    <row r="180" spans="1:10" x14ac:dyDescent="0.3">
      <c r="A180" s="13" t="s">
        <v>31</v>
      </c>
      <c r="C180" s="6" t="s">
        <v>18</v>
      </c>
      <c r="D180" s="10" t="s">
        <v>23</v>
      </c>
      <c r="E180" s="10" t="s">
        <v>1</v>
      </c>
      <c r="F180" s="12">
        <v>1</v>
      </c>
      <c r="G180" s="11" t="s">
        <v>6</v>
      </c>
      <c r="H180" s="10"/>
      <c r="I180" s="9">
        <f>+J180/60</f>
        <v>8.6956521739130432E-2</v>
      </c>
      <c r="J180" s="8">
        <v>5.2173913043478262</v>
      </c>
    </row>
    <row r="181" spans="1:10" x14ac:dyDescent="0.3">
      <c r="A181" s="13" t="s">
        <v>30</v>
      </c>
      <c r="C181" s="6" t="s">
        <v>18</v>
      </c>
      <c r="D181" s="10" t="s">
        <v>23</v>
      </c>
      <c r="E181" s="10" t="s">
        <v>1</v>
      </c>
      <c r="F181" s="12">
        <v>1</v>
      </c>
      <c r="G181" s="11" t="s">
        <v>6</v>
      </c>
      <c r="H181" s="10"/>
      <c r="I181" s="9">
        <f>+J181/60</f>
        <v>9.5238095238095219E-2</v>
      </c>
      <c r="J181" s="8">
        <v>5.7142857142857135</v>
      </c>
    </row>
    <row r="182" spans="1:10" x14ac:dyDescent="0.3">
      <c r="A182" s="13" t="s">
        <v>29</v>
      </c>
      <c r="C182" s="6" t="s">
        <v>18</v>
      </c>
      <c r="D182" s="10" t="s">
        <v>23</v>
      </c>
      <c r="E182" s="10" t="s">
        <v>1</v>
      </c>
      <c r="F182" s="12">
        <v>0.4</v>
      </c>
      <c r="G182" s="10" t="s">
        <v>14</v>
      </c>
      <c r="H182" s="10"/>
      <c r="I182" s="9">
        <f>+J182/60</f>
        <v>9.5238095238095219E-2</v>
      </c>
      <c r="J182" s="8">
        <v>5.7142857142857135</v>
      </c>
    </row>
    <row r="183" spans="1:10" x14ac:dyDescent="0.3">
      <c r="A183" s="13" t="s">
        <v>29</v>
      </c>
      <c r="C183" s="6" t="s">
        <v>18</v>
      </c>
      <c r="D183" s="10" t="s">
        <v>23</v>
      </c>
      <c r="E183" s="10" t="s">
        <v>22</v>
      </c>
      <c r="F183" s="12">
        <v>0.6</v>
      </c>
      <c r="G183" s="10" t="s">
        <v>14</v>
      </c>
      <c r="H183" s="10"/>
      <c r="I183" s="9">
        <f>+J183/60</f>
        <v>9.5238095238095219E-2</v>
      </c>
      <c r="J183" s="8">
        <v>5.7142857142857135</v>
      </c>
    </row>
    <row r="184" spans="1:10" x14ac:dyDescent="0.3">
      <c r="A184" s="13" t="s">
        <v>28</v>
      </c>
      <c r="C184" s="6" t="s">
        <v>18</v>
      </c>
      <c r="D184" s="10" t="s">
        <v>23</v>
      </c>
      <c r="E184" s="10" t="s">
        <v>1</v>
      </c>
      <c r="F184" s="12">
        <v>1</v>
      </c>
      <c r="G184" s="6" t="s">
        <v>14</v>
      </c>
      <c r="H184" s="10"/>
      <c r="I184" s="9">
        <f>+J184/60</f>
        <v>1.6666666666666666E-2</v>
      </c>
      <c r="J184" s="8">
        <v>1</v>
      </c>
    </row>
    <row r="185" spans="1:10" x14ac:dyDescent="0.3">
      <c r="A185" s="13" t="s">
        <v>27</v>
      </c>
      <c r="C185" s="6" t="s">
        <v>18</v>
      </c>
      <c r="D185" s="10" t="s">
        <v>23</v>
      </c>
      <c r="E185" s="10" t="s">
        <v>1</v>
      </c>
      <c r="F185" s="12">
        <v>1</v>
      </c>
      <c r="G185" s="11" t="s">
        <v>6</v>
      </c>
      <c r="H185" s="10"/>
      <c r="I185" s="9">
        <f>+J185/60</f>
        <v>0.17857142857142858</v>
      </c>
      <c r="J185" s="8">
        <v>10.714285714285715</v>
      </c>
    </row>
    <row r="186" spans="1:10" x14ac:dyDescent="0.3">
      <c r="A186" s="13" t="s">
        <v>26</v>
      </c>
      <c r="C186" s="6" t="s">
        <v>18</v>
      </c>
      <c r="D186" s="10" t="s">
        <v>23</v>
      </c>
      <c r="E186" s="10" t="s">
        <v>1</v>
      </c>
      <c r="F186" s="12">
        <v>1</v>
      </c>
      <c r="G186" s="11" t="s">
        <v>6</v>
      </c>
      <c r="H186" s="10"/>
      <c r="I186" s="9">
        <f>+J186/60</f>
        <v>9.6438746438746434E-2</v>
      </c>
      <c r="J186" s="8">
        <v>5.7863247863247862</v>
      </c>
    </row>
    <row r="187" spans="1:10" x14ac:dyDescent="0.3">
      <c r="A187" s="13" t="s">
        <v>25</v>
      </c>
      <c r="C187" s="6" t="s">
        <v>18</v>
      </c>
      <c r="D187" s="10" t="s">
        <v>23</v>
      </c>
      <c r="E187" s="10" t="s">
        <v>1</v>
      </c>
      <c r="F187" s="12">
        <v>1</v>
      </c>
      <c r="G187" s="11" t="s">
        <v>6</v>
      </c>
      <c r="H187" s="10"/>
      <c r="I187" s="9">
        <f>+J187/60</f>
        <v>8.4444444444444447E-2</v>
      </c>
      <c r="J187" s="8">
        <v>5.0666666666666664</v>
      </c>
    </row>
    <row r="188" spans="1:10" x14ac:dyDescent="0.3">
      <c r="A188" s="13" t="s">
        <v>24</v>
      </c>
      <c r="C188" s="6" t="s">
        <v>18</v>
      </c>
      <c r="D188" s="10" t="s">
        <v>23</v>
      </c>
      <c r="E188" s="10" t="s">
        <v>1</v>
      </c>
      <c r="F188" s="12">
        <v>0.4</v>
      </c>
      <c r="G188" s="11" t="s">
        <v>6</v>
      </c>
      <c r="H188" s="10"/>
      <c r="I188" s="9">
        <f>+J188/60</f>
        <v>0.34628787878787876</v>
      </c>
      <c r="J188" s="8">
        <v>20.777272727272724</v>
      </c>
    </row>
    <row r="189" spans="1:10" x14ac:dyDescent="0.3">
      <c r="A189" s="13" t="s">
        <v>24</v>
      </c>
      <c r="C189" s="6" t="s">
        <v>18</v>
      </c>
      <c r="D189" s="10" t="s">
        <v>23</v>
      </c>
      <c r="E189" s="10" t="s">
        <v>22</v>
      </c>
      <c r="F189" s="12">
        <v>0.6</v>
      </c>
      <c r="G189" s="11" t="s">
        <v>6</v>
      </c>
      <c r="H189" s="10"/>
      <c r="I189" s="9">
        <f>+J189/60</f>
        <v>0.34628787878787876</v>
      </c>
      <c r="J189" s="8">
        <v>20.777272727272724</v>
      </c>
    </row>
    <row r="190" spans="1:10" x14ac:dyDescent="0.3">
      <c r="A190" s="13" t="s">
        <v>21</v>
      </c>
      <c r="C190" s="6" t="s">
        <v>18</v>
      </c>
      <c r="D190" s="10" t="s">
        <v>17</v>
      </c>
      <c r="E190" s="10" t="s">
        <v>1</v>
      </c>
      <c r="F190" s="12">
        <v>1</v>
      </c>
      <c r="G190" s="10" t="s">
        <v>16</v>
      </c>
      <c r="H190" s="10"/>
      <c r="I190" s="9">
        <f>+J190/60</f>
        <v>8.3333333333333332E-3</v>
      </c>
      <c r="J190" s="8">
        <v>0.5</v>
      </c>
    </row>
    <row r="191" spans="1:10" x14ac:dyDescent="0.3">
      <c r="A191" s="13" t="s">
        <v>20</v>
      </c>
      <c r="C191" s="6" t="s">
        <v>18</v>
      </c>
      <c r="D191" s="10" t="s">
        <v>17</v>
      </c>
      <c r="E191" s="10" t="s">
        <v>1</v>
      </c>
      <c r="F191" s="12">
        <v>1</v>
      </c>
      <c r="G191" s="10" t="s">
        <v>16</v>
      </c>
      <c r="H191" s="10"/>
      <c r="I191" s="9">
        <f>+J191/60</f>
        <v>8.3333333333333332E-3</v>
      </c>
      <c r="J191" s="8">
        <v>0.5</v>
      </c>
    </row>
    <row r="192" spans="1:10" x14ac:dyDescent="0.3">
      <c r="A192" s="13" t="s">
        <v>19</v>
      </c>
      <c r="C192" s="6" t="s">
        <v>18</v>
      </c>
      <c r="D192" s="10" t="s">
        <v>17</v>
      </c>
      <c r="E192" s="10" t="s">
        <v>1</v>
      </c>
      <c r="F192" s="12">
        <v>1</v>
      </c>
      <c r="G192" s="10" t="s">
        <v>16</v>
      </c>
      <c r="H192" s="10"/>
      <c r="I192" s="9">
        <f>+J192/60</f>
        <v>8.3333333333333332E-3</v>
      </c>
      <c r="J192" s="8">
        <v>0.5</v>
      </c>
    </row>
    <row r="193" spans="1:10" x14ac:dyDescent="0.3">
      <c r="A193" s="13" t="s">
        <v>15</v>
      </c>
      <c r="C193" s="6" t="s">
        <v>3</v>
      </c>
      <c r="D193" s="10" t="s">
        <v>2</v>
      </c>
      <c r="E193" s="10" t="s">
        <v>1</v>
      </c>
      <c r="F193" s="12">
        <v>1</v>
      </c>
      <c r="G193" s="6" t="s">
        <v>14</v>
      </c>
      <c r="H193" s="10" t="s">
        <v>0</v>
      </c>
      <c r="I193" s="9">
        <f>+J193/60</f>
        <v>0.05</v>
      </c>
      <c r="J193" s="8">
        <v>3</v>
      </c>
    </row>
    <row r="194" spans="1:10" x14ac:dyDescent="0.3">
      <c r="A194" s="13" t="s">
        <v>13</v>
      </c>
      <c r="C194" s="6" t="s">
        <v>8</v>
      </c>
      <c r="D194" s="10" t="s">
        <v>2</v>
      </c>
      <c r="E194" s="10" t="s">
        <v>1</v>
      </c>
      <c r="F194" s="12">
        <v>1</v>
      </c>
      <c r="G194" s="11" t="s">
        <v>6</v>
      </c>
      <c r="H194" s="10" t="s">
        <v>0</v>
      </c>
      <c r="I194" s="9">
        <f>+J194/60</f>
        <v>0.05</v>
      </c>
      <c r="J194" s="8">
        <v>3</v>
      </c>
    </row>
    <row r="195" spans="1:10" x14ac:dyDescent="0.3">
      <c r="A195" s="13" t="s">
        <v>12</v>
      </c>
      <c r="B195" t="s">
        <v>11</v>
      </c>
      <c r="C195" s="6" t="s">
        <v>3</v>
      </c>
      <c r="D195" s="10" t="s">
        <v>2</v>
      </c>
      <c r="E195" s="10" t="s">
        <v>1</v>
      </c>
      <c r="F195" s="12">
        <v>1</v>
      </c>
      <c r="G195" s="11" t="s">
        <v>0</v>
      </c>
      <c r="H195" s="10"/>
      <c r="I195" s="9">
        <f>+J195/60</f>
        <v>2.0299999999999998</v>
      </c>
      <c r="J195" s="8">
        <v>121.79999999999998</v>
      </c>
    </row>
    <row r="196" spans="1:10" x14ac:dyDescent="0.3">
      <c r="A196" s="13" t="s">
        <v>10</v>
      </c>
      <c r="B196" t="s">
        <v>9</v>
      </c>
      <c r="C196" s="6" t="s">
        <v>8</v>
      </c>
      <c r="D196" s="10" t="s">
        <v>2</v>
      </c>
      <c r="E196" s="10" t="s">
        <v>1</v>
      </c>
      <c r="F196" s="12">
        <v>1</v>
      </c>
      <c r="G196" s="11" t="s">
        <v>0</v>
      </c>
      <c r="H196" s="10"/>
      <c r="I196" s="9">
        <f>+J196/60</f>
        <v>3.3611111111111103</v>
      </c>
      <c r="J196" s="8">
        <v>201.66666666666663</v>
      </c>
    </row>
    <row r="197" spans="1:10" x14ac:dyDescent="0.3">
      <c r="A197" s="13" t="s">
        <v>7</v>
      </c>
      <c r="C197" s="6" t="s">
        <v>3</v>
      </c>
      <c r="D197" s="10" t="s">
        <v>2</v>
      </c>
      <c r="E197" s="10" t="s">
        <v>1</v>
      </c>
      <c r="F197" s="12">
        <v>1</v>
      </c>
      <c r="G197" s="11" t="s">
        <v>6</v>
      </c>
      <c r="H197" s="10" t="s">
        <v>0</v>
      </c>
      <c r="I197" s="9">
        <f>+J197/60</f>
        <v>3.842857142857143E-2</v>
      </c>
      <c r="J197" s="8">
        <v>2.3057142857142856</v>
      </c>
    </row>
    <row r="198" spans="1:10" x14ac:dyDescent="0.3">
      <c r="A198" s="7" t="s">
        <v>5</v>
      </c>
      <c r="B198" t="s">
        <v>4</v>
      </c>
      <c r="C198" s="6" t="s">
        <v>3</v>
      </c>
      <c r="D198" s="3" t="s">
        <v>2</v>
      </c>
      <c r="E198" s="3" t="s">
        <v>1</v>
      </c>
      <c r="F198" s="5">
        <v>1</v>
      </c>
      <c r="G198" s="4" t="s">
        <v>0</v>
      </c>
      <c r="H198" s="3"/>
      <c r="I198" s="2">
        <f>J198/60</f>
        <v>4.0599999999999996</v>
      </c>
      <c r="J198" s="1">
        <v>243.6</v>
      </c>
    </row>
  </sheetData>
  <autoFilter ref="A1:J198" xr:uid="{2E12C1E4-97E4-4A1E-9017-D4984CBE9DF5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CM, CCC, CTD,CD, CLD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Salima Agourram</dc:creator>
  <cp:lastModifiedBy>Salima Agourram</cp:lastModifiedBy>
  <dcterms:created xsi:type="dcterms:W3CDTF">2026-02-07T21:25:55Z</dcterms:created>
  <dcterms:modified xsi:type="dcterms:W3CDTF">2026-02-07T21:26:36Z</dcterms:modified>
</cp:coreProperties>
</file>