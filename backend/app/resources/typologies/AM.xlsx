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agourram\Desktop\Tawazoon-V3\backend\app\resources\typologies\"/>
    </mc:Choice>
  </mc:AlternateContent>
  <xr:revisionPtr revIDLastSave="0" documentId="13_ncr:1_{968C2D17-B56F-4CE2-9D40-E082383F32C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Sheet1!$A$1:$J$103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3" i="1" l="1"/>
  <c r="I102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1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Mohammed Amine JALAL</author>
  </authors>
  <commentList>
    <comment ref="G51" authorId="0" shapeId="0" xr:uid="{F4919FAC-99B5-4BF7-BD67-A239620C6444}">
      <text>
        <r>
          <rPr>
            <b/>
            <sz val="9"/>
            <color indexed="81"/>
            <rFont val="Tahoma"/>
            <family val="2"/>
          </rPr>
          <t>Mohammed Amine JALAL:</t>
        </r>
        <r>
          <rPr>
            <sz val="9"/>
            <color indexed="81"/>
            <rFont val="Tahoma"/>
            <family val="2"/>
          </rPr>
          <t xml:space="preserve">
Modifier pour asmaa</t>
        </r>
      </text>
    </comment>
  </commentList>
</comments>
</file>

<file path=xl/sharedStrings.xml><?xml version="1.0" encoding="utf-8"?>
<sst xmlns="http://schemas.openxmlformats.org/spreadsheetml/2006/main" count="538" uniqueCount="109">
  <si>
    <t>Nom de tâche</t>
  </si>
  <si>
    <t>Produit</t>
  </si>
  <si>
    <t>Famille</t>
  </si>
  <si>
    <t>Phase</t>
  </si>
  <si>
    <t>Unité de mesure</t>
  </si>
  <si>
    <t>base de calcul</t>
  </si>
  <si>
    <t>Responsable 1</t>
  </si>
  <si>
    <t>Responsable 2</t>
  </si>
  <si>
    <t>Temps_min</t>
  </si>
  <si>
    <t>Temps_sec</t>
  </si>
  <si>
    <t xml:space="preserve"> AMANA Reçu</t>
  </si>
  <si>
    <t>Comptage Colis</t>
  </si>
  <si>
    <t>Rapprochement entre physique et Documents</t>
  </si>
  <si>
    <t>Tri &amp; Répartition entre : PP, GP</t>
  </si>
  <si>
    <t>Etat argent CRBT</t>
  </si>
  <si>
    <t>AMANA Dépôt</t>
  </si>
  <si>
    <t>Création dépeche</t>
  </si>
  <si>
    <t>Opération guichet  : Retrait</t>
  </si>
  <si>
    <t>Guichet</t>
  </si>
  <si>
    <t>Classement en cabine instance</t>
  </si>
  <si>
    <t>Mise en sac</t>
  </si>
  <si>
    <t xml:space="preserve">Bouclage des operations </t>
  </si>
  <si>
    <t>Clôture</t>
  </si>
  <si>
    <t>Fermeture sac</t>
  </si>
  <si>
    <t>Numérotage</t>
  </si>
  <si>
    <t>Contrôle</t>
  </si>
  <si>
    <t>Ecriture n° dépêches</t>
  </si>
  <si>
    <t>Ecriture nbre colis à envoyer</t>
  </si>
  <si>
    <t>Impression manifeste 101</t>
  </si>
  <si>
    <t>Edition PART</t>
  </si>
  <si>
    <t>Expédition</t>
  </si>
  <si>
    <t>Impression borderau</t>
  </si>
  <si>
    <t>Renseignement envoie sur registre</t>
  </si>
  <si>
    <t>Passation Vs Guichet</t>
  </si>
  <si>
    <t>Opération guichet : Retrait</t>
  </si>
  <si>
    <t>Notification envoi avisé client boite postale</t>
  </si>
  <si>
    <t>Guichet Pro</t>
  </si>
  <si>
    <t>Affranchissement</t>
  </si>
  <si>
    <t>Démarrage Machine</t>
  </si>
  <si>
    <t>Mise en service</t>
  </si>
  <si>
    <t>Passation sur Registre</t>
  </si>
  <si>
    <t>Pesage Courrier</t>
  </si>
  <si>
    <t>Réception</t>
  </si>
  <si>
    <t>Récupération facture MAG</t>
  </si>
  <si>
    <t>Renseignement poids en manuel</t>
  </si>
  <si>
    <t>Saisie données sur SI COM</t>
  </si>
  <si>
    <t>Taxation</t>
  </si>
  <si>
    <t>Traitement sur la machine MAG (Affranchissement)</t>
  </si>
  <si>
    <t>Chant et Pointage</t>
  </si>
  <si>
    <t>Scan &amp; Réception SI</t>
  </si>
  <si>
    <t>Ouverture Bac</t>
  </si>
  <si>
    <t>Scan retour vagumestre</t>
  </si>
  <si>
    <t>Mise en Bac</t>
  </si>
  <si>
    <t>Fermeture Bac</t>
  </si>
  <si>
    <t>Saisi Sur SI</t>
  </si>
  <si>
    <t>Saisi sur excel</t>
  </si>
  <si>
    <t>Suivi de recouvrement</t>
  </si>
  <si>
    <t>Edition Factures en fin de moi</t>
  </si>
  <si>
    <t>Etat Levée</t>
  </si>
  <si>
    <t>CO Arrivé</t>
  </si>
  <si>
    <t>CR Arrivé</t>
  </si>
  <si>
    <t>CO Arrivé local</t>
  </si>
  <si>
    <t xml:space="preserve"> AMANA Reçu local</t>
  </si>
  <si>
    <t>CR Arrivé local</t>
  </si>
  <si>
    <t>CO MED</t>
  </si>
  <si>
    <t>CO MED local</t>
  </si>
  <si>
    <t>CR MED</t>
  </si>
  <si>
    <t>CO local</t>
  </si>
  <si>
    <t>CR local</t>
  </si>
  <si>
    <t>CR MED local</t>
  </si>
  <si>
    <t>AMANA Dépôt local</t>
  </si>
  <si>
    <t>Déchargement Camions</t>
  </si>
  <si>
    <t>Remise au cabine de chargement</t>
  </si>
  <si>
    <t>Tri</t>
  </si>
  <si>
    <t>Comptage</t>
  </si>
  <si>
    <t xml:space="preserve">Ouverture Sac </t>
  </si>
  <si>
    <t>Préparation Chargement Camions</t>
  </si>
  <si>
    <t>Chargement Départ Camions</t>
  </si>
  <si>
    <t>Opération guichet : Dépôt (National)</t>
  </si>
  <si>
    <t>Opération guichet : Dépôt (International)</t>
  </si>
  <si>
    <t>Ecriture nbre CR à envoyer</t>
  </si>
  <si>
    <t>Envoi vers application des PARTs</t>
  </si>
  <si>
    <t xml:space="preserve">Suivi des dépots du mois </t>
  </si>
  <si>
    <t>Barid Pro</t>
  </si>
  <si>
    <t>Arrivée Camions</t>
  </si>
  <si>
    <t>Traitement</t>
  </si>
  <si>
    <t>Départ Camions</t>
  </si>
  <si>
    <t>Reporting</t>
  </si>
  <si>
    <t>Bac</t>
  </si>
  <si>
    <t>Colis</t>
  </si>
  <si>
    <t>Sac</t>
  </si>
  <si>
    <t>Courrier</t>
  </si>
  <si>
    <t>Dépeche</t>
  </si>
  <si>
    <t>Facteur</t>
  </si>
  <si>
    <t>colis</t>
  </si>
  <si>
    <t>Manutentionnaire</t>
  </si>
  <si>
    <t>Agent Traitement</t>
  </si>
  <si>
    <t>Agent traitement</t>
  </si>
  <si>
    <t>Guichetier</t>
  </si>
  <si>
    <t>Chef de centre</t>
  </si>
  <si>
    <t>CONTRÔLEUR OPÉRATIONS</t>
  </si>
  <si>
    <t>national</t>
  </si>
  <si>
    <t>international</t>
  </si>
  <si>
    <t>retour</t>
  </si>
  <si>
    <t>day_350</t>
  </si>
  <si>
    <t>AGENT MAC ET MAG</t>
  </si>
  <si>
    <t>Chargé Reporting et Qualité</t>
  </si>
  <si>
    <t>Agent de taxation</t>
  </si>
  <si>
    <t>AGENT OPERATIONS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</si>
</sst>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2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/>
    </xf>
    <xf numFmtId="0" fontId="3" fillId="0" borderId="1" xfId="0" applyFont="1" applyBorder="1"/>
    <xf numFmtId="0" fontId="3" fillId="3" borderId="1" xfId="0" applyFont="1" applyFill="1" applyBorder="1"/>
    <xf numFmtId="0" fontId="3" fillId="7" borderId="1" xfId="0" applyFont="1" applyFill="1" applyBorder="1"/>
    <xf numFmtId="0" fontId="3" fillId="4" borderId="1" xfId="0" applyFont="1" applyFill="1" applyBorder="1"/>
    <xf numFmtId="0" fontId="3" fillId="8" borderId="1" xfId="0" applyFont="1" applyFill="1" applyBorder="1"/>
    <xf numFmtId="9" fontId="3" fillId="0" borderId="0" xfId="0" applyNumberFormat="1" applyFont="1" applyAlignment="1">
      <alignment horizontal="center"/>
    </xf>
    <xf numFmtId="9" fontId="3" fillId="0" borderId="2" xfId="0" applyNumberFormat="1" applyFont="1" applyBorder="1" applyAlignment="1">
      <alignment horizontal="center"/>
    </xf>
    <xf numFmtId="9" fontId="3" fillId="0" borderId="3" xfId="0" applyNumberFormat="1" applyFont="1" applyBorder="1" applyAlignment="1">
      <alignment horizontal="center"/>
    </xf>
    <xf numFmtId="0" fontId="5" fillId="9" borderId="0" xfId="0" applyFont="1" applyFill="1" applyAlignment="1">
      <alignment horizontal="center"/>
    </xf>
    <xf numFmtId="9" fontId="3" fillId="0" borderId="1" xfId="0" applyNumberFormat="1" applyFont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9" fontId="3" fillId="3" borderId="1" xfId="0" applyNumberFormat="1" applyFont="1" applyFill="1" applyBorder="1" applyAlignment="1">
      <alignment horizontal="center"/>
    </xf>
    <xf numFmtId="9" fontId="3" fillId="4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43" fontId="3" fillId="0" borderId="1" xfId="1" applyFont="1" applyBorder="1"/>
    <xf numFmtId="164" fontId="3" fillId="10" borderId="1" xfId="1" applyNumberFormat="1" applyFont="1" applyFill="1" applyBorder="1"/>
    <xf numFmtId="164" fontId="3" fillId="0" borderId="1" xfId="1" applyNumberFormat="1" applyFont="1" applyFill="1" applyBorder="1"/>
    <xf numFmtId="164" fontId="3" fillId="11" borderId="1" xfId="1" applyNumberFormat="1" applyFont="1" applyFill="1" applyBorder="1"/>
    <xf numFmtId="164" fontId="3" fillId="0" borderId="1" xfId="1" applyNumberFormat="1" applyFont="1" applyBorder="1"/>
    <xf numFmtId="0" fontId="3" fillId="11" borderId="1" xfId="0" applyFont="1" applyFill="1" applyBorder="1"/>
    <xf numFmtId="43" fontId="3" fillId="3" borderId="1" xfId="1" applyFont="1" applyFill="1" applyBorder="1"/>
    <xf numFmtId="164" fontId="3" fillId="3" borderId="1" xfId="1" applyNumberFormat="1" applyFont="1" applyFill="1" applyBorder="1"/>
    <xf numFmtId="164" fontId="3" fillId="4" borderId="1" xfId="1" applyNumberFormat="1" applyFont="1" applyFill="1" applyBorder="1" applyAlignment="1">
      <alignment horizontal="center"/>
    </xf>
    <xf numFmtId="164" fontId="3" fillId="4" borderId="1" xfId="1" applyNumberFormat="1" applyFont="1" applyFill="1" applyBorder="1"/>
    <xf numFmtId="43" fontId="3" fillId="0" borderId="0" xfId="1" applyFont="1" applyBorder="1"/>
    <xf numFmtId="43" fontId="3" fillId="0" borderId="1" xfId="1" applyFont="1" applyFill="1" applyBorder="1"/>
    <xf numFmtId="0" fontId="3" fillId="12" borderId="1" xfId="0" applyFont="1" applyFill="1" applyBorder="1"/>
  </cellXfs>
  <cellStyles count="3">
    <cellStyle name="Milliers" xfId="1" builtinId="3"/>
    <cellStyle name="Milliers 2" xfId="2" xr:uid="{0B2BE3D4-E4D9-479B-B0D6-F7B0AA9BF88B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3"/>
  <sheetViews>
    <sheetView tabSelected="1" workbookViewId="0">
      <selection activeCell="G12" sqref="G12"/>
    </sheetView>
  </sheetViews>
  <sheetFormatPr baseColWidth="10" defaultColWidth="8.88671875" defaultRowHeight="14.4" x14ac:dyDescent="0.3"/>
  <cols>
    <col min="1" max="1" width="44" bestFit="1" customWidth="1"/>
    <col min="2" max="2" width="12.77734375" bestFit="1" customWidth="1"/>
    <col min="3" max="3" width="21.44140625" bestFit="1" customWidth="1"/>
    <col min="4" max="4" width="9.77734375" bestFit="1" customWidth="1"/>
    <col min="5" max="5" width="14.77734375" bestFit="1" customWidth="1"/>
    <col min="6" max="6" width="12.6640625" bestFit="1" customWidth="1"/>
    <col min="7" max="7" width="19.6640625" bestFit="1" customWidth="1"/>
    <col min="8" max="8" width="14.109375" bestFit="1" customWidth="1"/>
    <col min="9" max="10" width="12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71</v>
      </c>
      <c r="B2" s="6" t="s">
        <v>59</v>
      </c>
      <c r="C2" s="13" t="s">
        <v>84</v>
      </c>
      <c r="D2" s="41"/>
      <c r="E2" s="13" t="s">
        <v>90</v>
      </c>
      <c r="F2" s="18">
        <v>1</v>
      </c>
      <c r="G2" s="13" t="s">
        <v>95</v>
      </c>
      <c r="H2" s="13"/>
      <c r="I2" s="29">
        <f t="shared" ref="I2:I49" si="0">+J2/60</f>
        <v>1</v>
      </c>
      <c r="J2" s="30">
        <v>60</v>
      </c>
    </row>
    <row r="3" spans="1:10" x14ac:dyDescent="0.3">
      <c r="A3" s="2" t="s">
        <v>71</v>
      </c>
      <c r="B3" s="7" t="s">
        <v>60</v>
      </c>
      <c r="C3" s="13" t="s">
        <v>84</v>
      </c>
      <c r="D3" s="41"/>
      <c r="E3" s="13" t="s">
        <v>88</v>
      </c>
      <c r="F3" s="19">
        <v>1</v>
      </c>
      <c r="G3" s="13" t="s">
        <v>95</v>
      </c>
      <c r="H3" s="13"/>
      <c r="I3" s="29">
        <f t="shared" si="0"/>
        <v>0.23497630331753552</v>
      </c>
      <c r="J3" s="30">
        <v>14.098578199052131</v>
      </c>
    </row>
    <row r="4" spans="1:10" x14ac:dyDescent="0.3">
      <c r="A4" s="2" t="s">
        <v>71</v>
      </c>
      <c r="B4" s="6" t="s">
        <v>10</v>
      </c>
      <c r="C4" s="13" t="s">
        <v>84</v>
      </c>
      <c r="D4" s="41"/>
      <c r="E4" s="13" t="s">
        <v>89</v>
      </c>
      <c r="F4" s="20">
        <v>0.4</v>
      </c>
      <c r="G4" s="28" t="s">
        <v>95</v>
      </c>
      <c r="H4" s="13"/>
      <c r="I4" s="29">
        <f t="shared" si="0"/>
        <v>0.23497630331753552</v>
      </c>
      <c r="J4" s="31">
        <v>14.098578199052131</v>
      </c>
    </row>
    <row r="5" spans="1:10" x14ac:dyDescent="0.3">
      <c r="A5" s="2" t="s">
        <v>71</v>
      </c>
      <c r="B5" s="6" t="s">
        <v>10</v>
      </c>
      <c r="C5" s="13" t="s">
        <v>84</v>
      </c>
      <c r="D5" s="41"/>
      <c r="E5" s="13" t="s">
        <v>90</v>
      </c>
      <c r="F5" s="20">
        <v>0.6</v>
      </c>
      <c r="G5" s="28" t="s">
        <v>95</v>
      </c>
      <c r="H5" s="13"/>
      <c r="I5" s="29">
        <f t="shared" si="0"/>
        <v>0.23497630331753552</v>
      </c>
      <c r="J5" s="31">
        <v>14.098578199052131</v>
      </c>
    </row>
    <row r="6" spans="1:10" x14ac:dyDescent="0.3">
      <c r="A6" s="2" t="s">
        <v>38</v>
      </c>
      <c r="B6" s="6" t="s">
        <v>83</v>
      </c>
      <c r="C6" s="13" t="s">
        <v>36</v>
      </c>
      <c r="D6" s="41"/>
      <c r="E6" s="13" t="s">
        <v>91</v>
      </c>
      <c r="F6" s="21"/>
      <c r="G6" s="6" t="s">
        <v>105</v>
      </c>
      <c r="H6" s="13"/>
      <c r="I6" s="29">
        <f t="shared" si="0"/>
        <v>0.16666666666666666</v>
      </c>
      <c r="J6" s="32">
        <v>10</v>
      </c>
    </row>
    <row r="7" spans="1:10" x14ac:dyDescent="0.3">
      <c r="A7" s="2" t="s">
        <v>48</v>
      </c>
      <c r="B7" s="6" t="s">
        <v>59</v>
      </c>
      <c r="C7" s="13" t="s">
        <v>84</v>
      </c>
      <c r="D7" s="41"/>
      <c r="E7" s="13" t="s">
        <v>90</v>
      </c>
      <c r="F7" s="22">
        <v>1</v>
      </c>
      <c r="G7" s="13" t="s">
        <v>95</v>
      </c>
      <c r="H7" s="13"/>
      <c r="I7" s="29">
        <f t="shared" si="0"/>
        <v>0.75</v>
      </c>
      <c r="J7" s="30">
        <v>45</v>
      </c>
    </row>
    <row r="8" spans="1:10" x14ac:dyDescent="0.3">
      <c r="A8" s="2" t="s">
        <v>48</v>
      </c>
      <c r="B8" s="6" t="s">
        <v>10</v>
      </c>
      <c r="C8" s="13" t="s">
        <v>84</v>
      </c>
      <c r="D8" s="41"/>
      <c r="E8" s="13" t="s">
        <v>89</v>
      </c>
      <c r="F8" s="19">
        <v>0.4</v>
      </c>
      <c r="G8" s="28" t="s">
        <v>95</v>
      </c>
      <c r="H8" s="13"/>
      <c r="I8" s="29">
        <f t="shared" si="0"/>
        <v>0.13333333333333333</v>
      </c>
      <c r="J8" s="31">
        <v>8</v>
      </c>
    </row>
    <row r="9" spans="1:10" x14ac:dyDescent="0.3">
      <c r="A9" s="2" t="s">
        <v>48</v>
      </c>
      <c r="B9" s="6" t="s">
        <v>10</v>
      </c>
      <c r="C9" s="13" t="s">
        <v>84</v>
      </c>
      <c r="D9" s="41"/>
      <c r="E9" s="13" t="s">
        <v>90</v>
      </c>
      <c r="F9" s="22">
        <v>0.6</v>
      </c>
      <c r="G9" s="28" t="s">
        <v>95</v>
      </c>
      <c r="H9" s="13"/>
      <c r="I9" s="29">
        <f t="shared" si="0"/>
        <v>0.13333333333333333</v>
      </c>
      <c r="J9" s="31">
        <v>8</v>
      </c>
    </row>
    <row r="10" spans="1:10" x14ac:dyDescent="0.3">
      <c r="A10" s="2" t="s">
        <v>72</v>
      </c>
      <c r="B10" s="7" t="s">
        <v>60</v>
      </c>
      <c r="C10" s="13" t="s">
        <v>84</v>
      </c>
      <c r="D10" s="41"/>
      <c r="E10" s="13" t="s">
        <v>88</v>
      </c>
      <c r="F10" s="19">
        <v>1</v>
      </c>
      <c r="G10" s="13" t="s">
        <v>95</v>
      </c>
      <c r="H10" s="13"/>
      <c r="I10" s="29">
        <f t="shared" si="0"/>
        <v>0.16666666666666666</v>
      </c>
      <c r="J10" s="30">
        <v>10</v>
      </c>
    </row>
    <row r="11" spans="1:10" x14ac:dyDescent="0.3">
      <c r="A11" s="2" t="s">
        <v>39</v>
      </c>
      <c r="B11" s="6" t="s">
        <v>83</v>
      </c>
      <c r="C11" s="13" t="s">
        <v>36</v>
      </c>
      <c r="D11" s="41"/>
      <c r="E11" s="13" t="s">
        <v>91</v>
      </c>
      <c r="F11" s="23"/>
      <c r="G11" s="6" t="s">
        <v>105</v>
      </c>
      <c r="H11" s="13"/>
      <c r="I11" s="29">
        <f t="shared" si="0"/>
        <v>0.16666666666666666</v>
      </c>
      <c r="J11" s="33">
        <v>10</v>
      </c>
    </row>
    <row r="12" spans="1:10" x14ac:dyDescent="0.3">
      <c r="A12" s="2" t="s">
        <v>73</v>
      </c>
      <c r="B12" s="6" t="s">
        <v>59</v>
      </c>
      <c r="C12" s="13" t="s">
        <v>84</v>
      </c>
      <c r="D12" s="41"/>
      <c r="E12" s="17" t="s">
        <v>90</v>
      </c>
      <c r="F12" s="18">
        <v>1</v>
      </c>
      <c r="G12" s="28" t="s">
        <v>96</v>
      </c>
      <c r="H12" s="13"/>
      <c r="I12" s="29">
        <f t="shared" si="0"/>
        <v>3.3333333333333333E-2</v>
      </c>
      <c r="J12" s="33">
        <v>2</v>
      </c>
    </row>
    <row r="13" spans="1:10" x14ac:dyDescent="0.3">
      <c r="A13" s="2" t="s">
        <v>11</v>
      </c>
      <c r="B13" s="6" t="s">
        <v>10</v>
      </c>
      <c r="C13" s="13" t="s">
        <v>84</v>
      </c>
      <c r="D13" s="41"/>
      <c r="E13" s="13" t="s">
        <v>89</v>
      </c>
      <c r="F13" s="20">
        <v>1</v>
      </c>
      <c r="G13" s="6" t="s">
        <v>97</v>
      </c>
      <c r="H13" s="13"/>
      <c r="I13" s="29">
        <f t="shared" si="0"/>
        <v>3.3333333333333333E-2</v>
      </c>
      <c r="J13" s="31">
        <v>2</v>
      </c>
    </row>
    <row r="14" spans="1:10" x14ac:dyDescent="0.3">
      <c r="A14" s="2" t="s">
        <v>41</v>
      </c>
      <c r="B14" s="6" t="s">
        <v>83</v>
      </c>
      <c r="C14" s="13" t="s">
        <v>36</v>
      </c>
      <c r="D14" s="41"/>
      <c r="E14" s="13" t="s">
        <v>91</v>
      </c>
      <c r="F14" s="24"/>
      <c r="G14" s="6" t="s">
        <v>105</v>
      </c>
      <c r="H14" s="13"/>
      <c r="I14" s="29">
        <f t="shared" si="0"/>
        <v>0.11666666666666667</v>
      </c>
      <c r="J14" s="34">
        <v>7</v>
      </c>
    </row>
    <row r="15" spans="1:10" x14ac:dyDescent="0.3">
      <c r="A15" s="2" t="s">
        <v>50</v>
      </c>
      <c r="B15" s="7" t="s">
        <v>63</v>
      </c>
      <c r="C15" s="13" t="s">
        <v>84</v>
      </c>
      <c r="D15" s="41"/>
      <c r="E15" s="13" t="s">
        <v>88</v>
      </c>
      <c r="F15" s="22">
        <v>1</v>
      </c>
      <c r="G15" s="6" t="s">
        <v>97</v>
      </c>
      <c r="H15" s="13"/>
      <c r="I15" s="29">
        <f t="shared" si="0"/>
        <v>1.6666666666666666E-2</v>
      </c>
      <c r="J15" s="33">
        <v>1</v>
      </c>
    </row>
    <row r="16" spans="1:10" x14ac:dyDescent="0.3">
      <c r="A16" s="2" t="s">
        <v>74</v>
      </c>
      <c r="B16" s="7" t="s">
        <v>60</v>
      </c>
      <c r="C16" s="13" t="s">
        <v>84</v>
      </c>
      <c r="D16" s="41"/>
      <c r="E16" s="13" t="s">
        <v>88</v>
      </c>
      <c r="F16" s="22">
        <v>1</v>
      </c>
      <c r="G16" s="6" t="s">
        <v>97</v>
      </c>
      <c r="H16" s="13"/>
      <c r="I16" s="29">
        <f t="shared" si="0"/>
        <v>3.3333333333333333E-2</v>
      </c>
      <c r="J16" s="32">
        <v>2</v>
      </c>
    </row>
    <row r="17" spans="1:10" x14ac:dyDescent="0.3">
      <c r="A17" s="2" t="s">
        <v>12</v>
      </c>
      <c r="B17" s="6" t="s">
        <v>10</v>
      </c>
      <c r="C17" s="13" t="s">
        <v>84</v>
      </c>
      <c r="D17" s="41"/>
      <c r="E17" s="13" t="s">
        <v>89</v>
      </c>
      <c r="F17" s="19">
        <v>1</v>
      </c>
      <c r="G17" s="28" t="s">
        <v>97</v>
      </c>
      <c r="H17" s="13"/>
      <c r="I17" s="29">
        <f t="shared" si="0"/>
        <v>9.5238095238095219E-2</v>
      </c>
      <c r="J17" s="31">
        <v>5.7142857142857135</v>
      </c>
    </row>
    <row r="18" spans="1:10" x14ac:dyDescent="0.3">
      <c r="A18" s="2" t="s">
        <v>47</v>
      </c>
      <c r="B18" s="6" t="s">
        <v>83</v>
      </c>
      <c r="C18" s="13" t="s">
        <v>36</v>
      </c>
      <c r="D18" s="41"/>
      <c r="E18" s="13" t="s">
        <v>91</v>
      </c>
      <c r="F18" s="6"/>
      <c r="G18" s="6" t="s">
        <v>98</v>
      </c>
      <c r="H18" s="13"/>
      <c r="I18" s="29">
        <f t="shared" si="0"/>
        <v>0.18291666666666667</v>
      </c>
      <c r="J18" s="33">
        <v>10.975</v>
      </c>
    </row>
    <row r="19" spans="1:10" x14ac:dyDescent="0.3">
      <c r="A19" s="2" t="s">
        <v>12</v>
      </c>
      <c r="B19" s="7" t="s">
        <v>60</v>
      </c>
      <c r="C19" s="13" t="s">
        <v>84</v>
      </c>
      <c r="D19" s="41"/>
      <c r="E19" s="13" t="s">
        <v>88</v>
      </c>
      <c r="F19" s="22">
        <v>1</v>
      </c>
      <c r="G19" s="13" t="s">
        <v>96</v>
      </c>
      <c r="H19" s="13"/>
      <c r="I19" s="29">
        <f t="shared" si="0"/>
        <v>8.4444444444444447E-2</v>
      </c>
      <c r="J19" s="30">
        <v>5.0666666666666664</v>
      </c>
    </row>
    <row r="20" spans="1:10" x14ac:dyDescent="0.3">
      <c r="A20" s="2" t="s">
        <v>42</v>
      </c>
      <c r="B20" s="6" t="s">
        <v>83</v>
      </c>
      <c r="C20" s="13" t="s">
        <v>36</v>
      </c>
      <c r="D20" s="41"/>
      <c r="E20" s="13" t="s">
        <v>91</v>
      </c>
      <c r="F20" s="24"/>
      <c r="G20" s="6" t="s">
        <v>98</v>
      </c>
      <c r="H20" s="13"/>
      <c r="I20" s="29">
        <f t="shared" si="0"/>
        <v>3.3333333333333333E-2</v>
      </c>
      <c r="J20" s="33">
        <v>2</v>
      </c>
    </row>
    <row r="21" spans="1:10" x14ac:dyDescent="0.3">
      <c r="A21" s="2" t="s">
        <v>73</v>
      </c>
      <c r="B21" s="6" t="s">
        <v>10</v>
      </c>
      <c r="C21" s="13" t="s">
        <v>84</v>
      </c>
      <c r="D21" s="41"/>
      <c r="E21" s="13" t="s">
        <v>89</v>
      </c>
      <c r="F21" s="19">
        <v>0.4</v>
      </c>
      <c r="G21" s="28" t="s">
        <v>96</v>
      </c>
      <c r="H21" s="13"/>
      <c r="I21" s="29">
        <f t="shared" si="0"/>
        <v>7.8235294117647083E-2</v>
      </c>
      <c r="J21" s="31">
        <v>4.6941176470588246</v>
      </c>
    </row>
    <row r="22" spans="1:10" x14ac:dyDescent="0.3">
      <c r="A22" s="2" t="s">
        <v>73</v>
      </c>
      <c r="B22" s="7" t="s">
        <v>60</v>
      </c>
      <c r="C22" s="13" t="s">
        <v>84</v>
      </c>
      <c r="D22" s="41"/>
      <c r="E22" s="17" t="s">
        <v>88</v>
      </c>
      <c r="F22" s="20">
        <v>1</v>
      </c>
      <c r="G22" s="28" t="s">
        <v>96</v>
      </c>
      <c r="H22" s="13"/>
      <c r="I22" s="29">
        <f t="shared" si="0"/>
        <v>3.3333333333333333E-2</v>
      </c>
      <c r="J22" s="33">
        <v>2</v>
      </c>
    </row>
    <row r="23" spans="1:10" x14ac:dyDescent="0.3">
      <c r="A23" s="2" t="s">
        <v>44</v>
      </c>
      <c r="B23" s="6" t="s">
        <v>83</v>
      </c>
      <c r="C23" s="13" t="s">
        <v>36</v>
      </c>
      <c r="D23" s="41"/>
      <c r="E23" s="13" t="s">
        <v>91</v>
      </c>
      <c r="F23" s="6"/>
      <c r="G23" s="6" t="s">
        <v>98</v>
      </c>
      <c r="H23" s="13"/>
      <c r="I23" s="29">
        <f t="shared" si="0"/>
        <v>0.1</v>
      </c>
      <c r="J23" s="33">
        <v>6</v>
      </c>
    </row>
    <row r="24" spans="1:10" x14ac:dyDescent="0.3">
      <c r="A24" s="2" t="s">
        <v>45</v>
      </c>
      <c r="B24" s="6" t="s">
        <v>83</v>
      </c>
      <c r="C24" s="13" t="s">
        <v>36</v>
      </c>
      <c r="D24" s="41"/>
      <c r="E24" s="13" t="s">
        <v>91</v>
      </c>
      <c r="F24" s="6"/>
      <c r="G24" s="6" t="s">
        <v>98</v>
      </c>
      <c r="H24" s="13"/>
      <c r="I24" s="29">
        <f t="shared" si="0"/>
        <v>0.21083333333333334</v>
      </c>
      <c r="J24" s="33">
        <v>12.65</v>
      </c>
    </row>
    <row r="25" spans="1:10" x14ac:dyDescent="0.3">
      <c r="A25" s="2" t="s">
        <v>75</v>
      </c>
      <c r="B25" s="6" t="s">
        <v>61</v>
      </c>
      <c r="C25" s="13" t="s">
        <v>84</v>
      </c>
      <c r="D25" s="41"/>
      <c r="E25" s="13" t="s">
        <v>90</v>
      </c>
      <c r="F25" s="22">
        <v>1</v>
      </c>
      <c r="G25" s="13" t="s">
        <v>96</v>
      </c>
      <c r="H25" s="13"/>
      <c r="I25" s="29">
        <f t="shared" si="0"/>
        <v>1.6666666666666666E-2</v>
      </c>
      <c r="J25" s="30">
        <v>1</v>
      </c>
    </row>
    <row r="26" spans="1:10" x14ac:dyDescent="0.3">
      <c r="A26" s="2" t="s">
        <v>37</v>
      </c>
      <c r="B26" s="6" t="s">
        <v>83</v>
      </c>
      <c r="C26" s="13" t="s">
        <v>36</v>
      </c>
      <c r="D26" s="41"/>
      <c r="E26" s="13" t="s">
        <v>91</v>
      </c>
      <c r="F26" s="6"/>
      <c r="G26" s="6" t="s">
        <v>105</v>
      </c>
      <c r="H26" s="13"/>
      <c r="I26" s="29">
        <f t="shared" si="0"/>
        <v>0.13374999999999998</v>
      </c>
      <c r="J26" s="33">
        <v>8.0249999999999986</v>
      </c>
    </row>
    <row r="27" spans="1:10" x14ac:dyDescent="0.3">
      <c r="A27" s="2" t="s">
        <v>30</v>
      </c>
      <c r="B27" s="6" t="s">
        <v>83</v>
      </c>
      <c r="C27" s="13" t="s">
        <v>36</v>
      </c>
      <c r="D27" s="41"/>
      <c r="E27" s="13" t="s">
        <v>91</v>
      </c>
      <c r="F27" s="6"/>
      <c r="G27" s="6" t="s">
        <v>97</v>
      </c>
      <c r="H27" s="13"/>
      <c r="I27" s="29">
        <f t="shared" si="0"/>
        <v>3.3333333333333333E-2</v>
      </c>
      <c r="J27" s="33">
        <v>2</v>
      </c>
    </row>
    <row r="28" spans="1:10" x14ac:dyDescent="0.3">
      <c r="A28" s="2" t="s">
        <v>75</v>
      </c>
      <c r="B28" s="6" t="s">
        <v>62</v>
      </c>
      <c r="C28" s="13" t="s">
        <v>84</v>
      </c>
      <c r="D28" s="41"/>
      <c r="E28" s="13" t="s">
        <v>90</v>
      </c>
      <c r="F28" s="19">
        <v>0.6</v>
      </c>
      <c r="G28" s="28" t="s">
        <v>96</v>
      </c>
      <c r="H28" s="13"/>
      <c r="I28" s="29">
        <f t="shared" si="0"/>
        <v>1.6666666666666666E-2</v>
      </c>
      <c r="J28" s="31">
        <v>1</v>
      </c>
    </row>
    <row r="29" spans="1:10" x14ac:dyDescent="0.3">
      <c r="A29" s="2" t="s">
        <v>43</v>
      </c>
      <c r="B29" s="6" t="s">
        <v>83</v>
      </c>
      <c r="C29" s="13" t="s">
        <v>36</v>
      </c>
      <c r="D29" s="41"/>
      <c r="E29" s="13" t="s">
        <v>91</v>
      </c>
      <c r="F29" s="6"/>
      <c r="G29" s="6" t="s">
        <v>105</v>
      </c>
      <c r="H29" s="13"/>
      <c r="I29" s="29">
        <f t="shared" si="0"/>
        <v>3.3333333333333333E-2</v>
      </c>
      <c r="J29" s="33">
        <v>2</v>
      </c>
    </row>
    <row r="30" spans="1:10" x14ac:dyDescent="0.3">
      <c r="A30" s="3" t="s">
        <v>13</v>
      </c>
      <c r="B30" s="6" t="s">
        <v>62</v>
      </c>
      <c r="C30" s="13" t="s">
        <v>85</v>
      </c>
      <c r="D30" s="41"/>
      <c r="E30" s="13" t="s">
        <v>89</v>
      </c>
      <c r="F30" s="19">
        <v>1</v>
      </c>
      <c r="G30" s="28" t="s">
        <v>96</v>
      </c>
      <c r="H30" s="13"/>
      <c r="I30" s="29">
        <f t="shared" si="0"/>
        <v>7.8235294117647083E-2</v>
      </c>
      <c r="J30" s="31">
        <v>4.6941176470588246</v>
      </c>
    </row>
    <row r="31" spans="1:10" x14ac:dyDescent="0.3">
      <c r="A31" s="2" t="s">
        <v>40</v>
      </c>
      <c r="B31" s="6" t="s">
        <v>83</v>
      </c>
      <c r="C31" s="13" t="s">
        <v>36</v>
      </c>
      <c r="D31" s="41"/>
      <c r="E31" s="13" t="s">
        <v>91</v>
      </c>
      <c r="F31" s="24"/>
      <c r="G31" s="6" t="s">
        <v>98</v>
      </c>
      <c r="H31" s="13" t="s">
        <v>108</v>
      </c>
      <c r="I31" s="29">
        <f t="shared" si="0"/>
        <v>3.3333333333333333E-2</v>
      </c>
      <c r="J31" s="34">
        <v>2</v>
      </c>
    </row>
    <row r="32" spans="1:10" x14ac:dyDescent="0.3">
      <c r="A32" s="2" t="s">
        <v>49</v>
      </c>
      <c r="B32" s="7" t="s">
        <v>63</v>
      </c>
      <c r="C32" s="13" t="s">
        <v>85</v>
      </c>
      <c r="D32" s="41"/>
      <c r="E32" s="13" t="s">
        <v>91</v>
      </c>
      <c r="F32" s="20">
        <v>1</v>
      </c>
      <c r="G32" s="6" t="s">
        <v>97</v>
      </c>
      <c r="H32" s="13"/>
      <c r="I32" s="29">
        <f t="shared" si="0"/>
        <v>3.3333333333333333E-2</v>
      </c>
      <c r="J32" s="32">
        <v>2</v>
      </c>
    </row>
    <row r="33" spans="1:10" x14ac:dyDescent="0.3">
      <c r="A33" s="2" t="s">
        <v>49</v>
      </c>
      <c r="B33" s="6" t="s">
        <v>62</v>
      </c>
      <c r="C33" s="13" t="s">
        <v>85</v>
      </c>
      <c r="D33" s="41"/>
      <c r="E33" s="13" t="s">
        <v>89</v>
      </c>
      <c r="F33" s="22">
        <v>1</v>
      </c>
      <c r="G33" s="28" t="s">
        <v>96</v>
      </c>
      <c r="H33" s="13"/>
      <c r="I33" s="29">
        <f t="shared" si="0"/>
        <v>3.9771241830065369E-2</v>
      </c>
      <c r="J33" s="31">
        <v>2.386274509803922</v>
      </c>
    </row>
    <row r="34" spans="1:10" x14ac:dyDescent="0.3">
      <c r="A34" s="2" t="s">
        <v>29</v>
      </c>
      <c r="B34" s="6" t="s">
        <v>83</v>
      </c>
      <c r="C34" s="13" t="s">
        <v>36</v>
      </c>
      <c r="D34" s="41"/>
      <c r="E34" s="13" t="s">
        <v>91</v>
      </c>
      <c r="F34" s="24"/>
      <c r="G34" s="6" t="s">
        <v>97</v>
      </c>
      <c r="H34" s="13"/>
      <c r="I34" s="29">
        <f t="shared" si="0"/>
        <v>1.6666666666666666E-2</v>
      </c>
      <c r="J34" s="33">
        <v>1</v>
      </c>
    </row>
    <row r="35" spans="1:10" x14ac:dyDescent="0.3">
      <c r="A35" s="2" t="s">
        <v>51</v>
      </c>
      <c r="B35" s="6" t="s">
        <v>83</v>
      </c>
      <c r="C35" s="13" t="s">
        <v>36</v>
      </c>
      <c r="D35" s="41"/>
      <c r="E35" s="13" t="s">
        <v>91</v>
      </c>
      <c r="F35" s="25"/>
      <c r="G35" s="6" t="s">
        <v>98</v>
      </c>
      <c r="H35" s="13"/>
      <c r="I35" s="29">
        <f t="shared" si="0"/>
        <v>1.6666666666666666E-2</v>
      </c>
      <c r="J35" s="33">
        <v>1</v>
      </c>
    </row>
    <row r="36" spans="1:10" x14ac:dyDescent="0.3">
      <c r="A36" s="2" t="s">
        <v>46</v>
      </c>
      <c r="B36" s="6" t="s">
        <v>83</v>
      </c>
      <c r="C36" s="13" t="s">
        <v>36</v>
      </c>
      <c r="D36" s="41"/>
      <c r="E36" s="13" t="s">
        <v>91</v>
      </c>
      <c r="F36" s="6"/>
      <c r="G36" s="13" t="s">
        <v>107</v>
      </c>
      <c r="H36" s="13"/>
      <c r="I36" s="29">
        <f t="shared" si="0"/>
        <v>1.6666666666666666E-2</v>
      </c>
      <c r="J36" s="33">
        <v>1</v>
      </c>
    </row>
    <row r="37" spans="1:10" x14ac:dyDescent="0.3">
      <c r="A37" s="2" t="s">
        <v>14</v>
      </c>
      <c r="B37" s="7" t="s">
        <v>63</v>
      </c>
      <c r="C37" s="13" t="s">
        <v>18</v>
      </c>
      <c r="D37" s="41"/>
      <c r="E37" s="13" t="s">
        <v>91</v>
      </c>
      <c r="F37" s="20">
        <v>1</v>
      </c>
      <c r="G37" s="13" t="s">
        <v>98</v>
      </c>
      <c r="H37" s="6" t="s">
        <v>99</v>
      </c>
      <c r="I37" s="29">
        <f t="shared" si="0"/>
        <v>0.16160909090909092</v>
      </c>
      <c r="J37" s="30">
        <v>9.6965454545454559</v>
      </c>
    </row>
    <row r="38" spans="1:10" x14ac:dyDescent="0.3">
      <c r="A38" s="2" t="s">
        <v>16</v>
      </c>
      <c r="B38" s="6" t="s">
        <v>64</v>
      </c>
      <c r="C38" s="13" t="s">
        <v>86</v>
      </c>
      <c r="D38" s="41"/>
      <c r="E38" s="13" t="s">
        <v>92</v>
      </c>
      <c r="F38" s="20">
        <v>1</v>
      </c>
      <c r="G38" s="6" t="s">
        <v>97</v>
      </c>
      <c r="H38" s="13"/>
      <c r="I38" s="29">
        <f t="shared" si="0"/>
        <v>6</v>
      </c>
      <c r="J38" s="32">
        <v>360</v>
      </c>
    </row>
    <row r="39" spans="1:10" x14ac:dyDescent="0.3">
      <c r="A39" s="10" t="s">
        <v>20</v>
      </c>
      <c r="B39" s="6" t="s">
        <v>64</v>
      </c>
      <c r="C39" s="13" t="s">
        <v>86</v>
      </c>
      <c r="D39" s="41"/>
      <c r="E39" s="13" t="s">
        <v>90</v>
      </c>
      <c r="F39" s="20">
        <v>1</v>
      </c>
      <c r="G39" s="13" t="s">
        <v>97</v>
      </c>
      <c r="H39" s="13"/>
      <c r="I39" s="29">
        <f t="shared" si="0"/>
        <v>1</v>
      </c>
      <c r="J39" s="30">
        <v>60</v>
      </c>
    </row>
    <row r="40" spans="1:10" x14ac:dyDescent="0.3">
      <c r="A40" s="2" t="s">
        <v>35</v>
      </c>
      <c r="B40" s="7" t="s">
        <v>63</v>
      </c>
      <c r="C40" s="13" t="s">
        <v>85</v>
      </c>
      <c r="D40" s="41"/>
      <c r="E40" s="13" t="s">
        <v>91</v>
      </c>
      <c r="F40" s="22">
        <v>1</v>
      </c>
      <c r="G40" s="6" t="s">
        <v>97</v>
      </c>
      <c r="H40" s="13"/>
      <c r="I40" s="29">
        <f t="shared" si="0"/>
        <v>3.3333333333333333E-2</v>
      </c>
      <c r="J40" s="33">
        <v>2</v>
      </c>
    </row>
    <row r="41" spans="1:10" x14ac:dyDescent="0.3">
      <c r="A41" s="2" t="s">
        <v>23</v>
      </c>
      <c r="B41" s="6" t="s">
        <v>64</v>
      </c>
      <c r="C41" s="13" t="s">
        <v>86</v>
      </c>
      <c r="D41" s="41"/>
      <c r="E41" s="13" t="s">
        <v>90</v>
      </c>
      <c r="F41" s="20">
        <v>1</v>
      </c>
      <c r="G41" s="13" t="s">
        <v>96</v>
      </c>
      <c r="H41" s="13"/>
      <c r="I41" s="29">
        <f t="shared" si="0"/>
        <v>1</v>
      </c>
      <c r="J41" s="30">
        <v>60</v>
      </c>
    </row>
    <row r="42" spans="1:10" x14ac:dyDescent="0.3">
      <c r="A42" s="2" t="s">
        <v>24</v>
      </c>
      <c r="B42" s="6" t="s">
        <v>64</v>
      </c>
      <c r="C42" s="13" t="s">
        <v>86</v>
      </c>
      <c r="D42" s="41"/>
      <c r="E42" s="13" t="s">
        <v>90</v>
      </c>
      <c r="F42" s="20">
        <v>1</v>
      </c>
      <c r="G42" s="13" t="s">
        <v>96</v>
      </c>
      <c r="H42" s="13"/>
      <c r="I42" s="29">
        <f t="shared" si="0"/>
        <v>0.75</v>
      </c>
      <c r="J42" s="30">
        <v>45</v>
      </c>
    </row>
    <row r="43" spans="1:10" x14ac:dyDescent="0.3">
      <c r="A43" s="2" t="s">
        <v>26</v>
      </c>
      <c r="B43" s="6" t="s">
        <v>64</v>
      </c>
      <c r="C43" s="13" t="s">
        <v>86</v>
      </c>
      <c r="D43" s="41"/>
      <c r="E43" s="13" t="s">
        <v>90</v>
      </c>
      <c r="F43" s="20">
        <v>1</v>
      </c>
      <c r="G43" s="13" t="s">
        <v>100</v>
      </c>
      <c r="H43" s="13"/>
      <c r="I43" s="29">
        <f t="shared" si="0"/>
        <v>0.75</v>
      </c>
      <c r="J43" s="32">
        <v>45</v>
      </c>
    </row>
    <row r="44" spans="1:10" x14ac:dyDescent="0.3">
      <c r="A44" s="4" t="s">
        <v>31</v>
      </c>
      <c r="B44" s="8" t="s">
        <v>64</v>
      </c>
      <c r="C44" s="14" t="s">
        <v>86</v>
      </c>
      <c r="D44" s="41" t="s">
        <v>104</v>
      </c>
      <c r="E44" s="14" t="s">
        <v>93</v>
      </c>
      <c r="F44" s="26">
        <v>1</v>
      </c>
      <c r="G44" s="14" t="s">
        <v>100</v>
      </c>
      <c r="H44" s="14"/>
      <c r="I44" s="35">
        <f t="shared" si="0"/>
        <v>2</v>
      </c>
      <c r="J44" s="36">
        <v>120</v>
      </c>
    </row>
    <row r="45" spans="1:10" x14ac:dyDescent="0.3">
      <c r="A45" s="2" t="s">
        <v>32</v>
      </c>
      <c r="B45" s="6" t="s">
        <v>64</v>
      </c>
      <c r="C45" s="13" t="s">
        <v>86</v>
      </c>
      <c r="D45" s="41"/>
      <c r="E45" s="13" t="s">
        <v>90</v>
      </c>
      <c r="F45" s="22">
        <v>1</v>
      </c>
      <c r="G45" s="13" t="s">
        <v>96</v>
      </c>
      <c r="H45" s="13"/>
      <c r="I45" s="29">
        <f t="shared" si="0"/>
        <v>0.75</v>
      </c>
      <c r="J45" s="30">
        <v>45</v>
      </c>
    </row>
    <row r="46" spans="1:10" x14ac:dyDescent="0.3">
      <c r="A46" s="2" t="s">
        <v>25</v>
      </c>
      <c r="B46" s="6" t="s">
        <v>66</v>
      </c>
      <c r="C46" s="13" t="s">
        <v>86</v>
      </c>
      <c r="D46" s="41"/>
      <c r="E46" s="13" t="s">
        <v>91</v>
      </c>
      <c r="F46" s="20">
        <v>1</v>
      </c>
      <c r="G46" s="13" t="s">
        <v>97</v>
      </c>
      <c r="H46" s="13"/>
      <c r="I46" s="29">
        <f t="shared" si="0"/>
        <v>9.5238095238095219E-2</v>
      </c>
      <c r="J46" s="30">
        <v>5.7142857142857135</v>
      </c>
    </row>
    <row r="47" spans="1:10" x14ac:dyDescent="0.3">
      <c r="A47" s="2" t="s">
        <v>16</v>
      </c>
      <c r="B47" s="6" t="s">
        <v>66</v>
      </c>
      <c r="C47" s="13" t="s">
        <v>86</v>
      </c>
      <c r="D47" s="41"/>
      <c r="E47" s="13" t="s">
        <v>91</v>
      </c>
      <c r="F47" s="20">
        <v>1</v>
      </c>
      <c r="G47" s="6" t="s">
        <v>97</v>
      </c>
      <c r="H47" s="13"/>
      <c r="I47" s="29">
        <f t="shared" si="0"/>
        <v>8.3333333333333329E-2</v>
      </c>
      <c r="J47" s="32">
        <v>5</v>
      </c>
    </row>
    <row r="48" spans="1:10" x14ac:dyDescent="0.3">
      <c r="A48" s="2" t="s">
        <v>76</v>
      </c>
      <c r="B48" s="6" t="s">
        <v>64</v>
      </c>
      <c r="C48" s="13" t="s">
        <v>86</v>
      </c>
      <c r="D48" s="41"/>
      <c r="E48" s="13" t="s">
        <v>90</v>
      </c>
      <c r="F48" s="19">
        <v>1</v>
      </c>
      <c r="G48" s="13" t="s">
        <v>96</v>
      </c>
      <c r="H48" s="13"/>
      <c r="I48" s="29">
        <f t="shared" si="0"/>
        <v>1.25</v>
      </c>
      <c r="J48" s="30">
        <v>75</v>
      </c>
    </row>
    <row r="49" spans="1:10" x14ac:dyDescent="0.3">
      <c r="A49" s="2" t="s">
        <v>77</v>
      </c>
      <c r="B49" s="6" t="s">
        <v>64</v>
      </c>
      <c r="C49" s="13" t="s">
        <v>86</v>
      </c>
      <c r="D49" s="41"/>
      <c r="E49" s="13" t="s">
        <v>90</v>
      </c>
      <c r="F49" s="22">
        <v>1</v>
      </c>
      <c r="G49" s="13" t="s">
        <v>96</v>
      </c>
      <c r="H49" s="13"/>
      <c r="I49" s="29">
        <f t="shared" si="0"/>
        <v>1</v>
      </c>
      <c r="J49" s="30">
        <v>60</v>
      </c>
    </row>
    <row r="50" spans="1:10" x14ac:dyDescent="0.3">
      <c r="A50" s="2" t="s">
        <v>33</v>
      </c>
      <c r="B50" s="6" t="s">
        <v>61</v>
      </c>
      <c r="C50" s="13" t="s">
        <v>85</v>
      </c>
      <c r="D50" s="41"/>
      <c r="E50" s="13" t="s">
        <v>91</v>
      </c>
      <c r="F50" s="22">
        <v>1</v>
      </c>
      <c r="G50" s="28" t="s">
        <v>96</v>
      </c>
      <c r="H50" s="13" t="s">
        <v>98</v>
      </c>
      <c r="I50" s="29"/>
      <c r="J50" s="30"/>
    </row>
    <row r="51" spans="1:10" x14ac:dyDescent="0.3">
      <c r="A51" s="10" t="s">
        <v>52</v>
      </c>
      <c r="B51" s="6" t="s">
        <v>66</v>
      </c>
      <c r="C51" s="13" t="s">
        <v>86</v>
      </c>
      <c r="D51" s="41"/>
      <c r="E51" s="13" t="s">
        <v>88</v>
      </c>
      <c r="F51" s="20">
        <v>1</v>
      </c>
      <c r="G51" s="13" t="s">
        <v>97</v>
      </c>
      <c r="H51" s="13"/>
      <c r="I51" s="29">
        <f>+J51/60</f>
        <v>6</v>
      </c>
      <c r="J51" s="30">
        <v>360</v>
      </c>
    </row>
    <row r="52" spans="1:10" x14ac:dyDescent="0.3">
      <c r="A52" s="11" t="s">
        <v>78</v>
      </c>
      <c r="B52" s="12" t="s">
        <v>65</v>
      </c>
      <c r="C52" s="15" t="s">
        <v>18</v>
      </c>
      <c r="D52" s="15" t="s">
        <v>101</v>
      </c>
      <c r="E52" s="13" t="s">
        <v>91</v>
      </c>
      <c r="F52" s="20">
        <v>1</v>
      </c>
      <c r="G52" s="13" t="s">
        <v>98</v>
      </c>
      <c r="H52" s="13"/>
      <c r="I52" s="29"/>
      <c r="J52" s="30"/>
    </row>
    <row r="53" spans="1:10" x14ac:dyDescent="0.3">
      <c r="A53" s="11" t="s">
        <v>79</v>
      </c>
      <c r="B53" s="12" t="s">
        <v>65</v>
      </c>
      <c r="C53" s="15" t="s">
        <v>18</v>
      </c>
      <c r="D53" s="15" t="s">
        <v>102</v>
      </c>
      <c r="E53" s="13" t="s">
        <v>91</v>
      </c>
      <c r="F53" s="20">
        <v>1</v>
      </c>
      <c r="G53" s="13" t="s">
        <v>98</v>
      </c>
      <c r="H53" s="13"/>
      <c r="I53" s="29"/>
      <c r="J53" s="30"/>
    </row>
    <row r="54" spans="1:10" x14ac:dyDescent="0.3">
      <c r="A54" s="11" t="s">
        <v>34</v>
      </c>
      <c r="B54" s="6" t="s">
        <v>61</v>
      </c>
      <c r="C54" s="15" t="s">
        <v>18</v>
      </c>
      <c r="D54" s="15" t="s">
        <v>103</v>
      </c>
      <c r="E54" s="13" t="s">
        <v>91</v>
      </c>
      <c r="F54" s="20">
        <v>1</v>
      </c>
      <c r="G54" s="13" t="s">
        <v>98</v>
      </c>
      <c r="H54" s="13"/>
      <c r="I54" s="29"/>
      <c r="J54" s="30"/>
    </row>
    <row r="55" spans="1:10" x14ac:dyDescent="0.3">
      <c r="A55" s="11" t="s">
        <v>58</v>
      </c>
      <c r="B55" s="12" t="s">
        <v>65</v>
      </c>
      <c r="C55" s="15" t="s">
        <v>18</v>
      </c>
      <c r="D55" s="15"/>
      <c r="E55" s="13" t="s">
        <v>91</v>
      </c>
      <c r="F55" s="20">
        <v>1</v>
      </c>
      <c r="G55" s="13" t="s">
        <v>98</v>
      </c>
      <c r="H55" s="13"/>
      <c r="I55" s="29"/>
      <c r="J55" s="30"/>
    </row>
    <row r="56" spans="1:10" x14ac:dyDescent="0.3">
      <c r="A56" s="2" t="s">
        <v>21</v>
      </c>
      <c r="B56" s="6" t="s">
        <v>67</v>
      </c>
      <c r="C56" s="13" t="s">
        <v>22</v>
      </c>
      <c r="D56" s="41" t="s">
        <v>104</v>
      </c>
      <c r="E56" s="13" t="s">
        <v>93</v>
      </c>
      <c r="F56" s="22">
        <v>1</v>
      </c>
      <c r="G56" s="13" t="s">
        <v>106</v>
      </c>
      <c r="H56" s="13"/>
      <c r="I56" s="29">
        <f t="shared" ref="I56:I68" si="1">+J56/60</f>
        <v>3</v>
      </c>
      <c r="J56" s="33">
        <v>180</v>
      </c>
    </row>
    <row r="57" spans="1:10" x14ac:dyDescent="0.3">
      <c r="A57" s="2" t="s">
        <v>53</v>
      </c>
      <c r="B57" s="6" t="s">
        <v>66</v>
      </c>
      <c r="C57" s="13" t="s">
        <v>86</v>
      </c>
      <c r="D57" s="41"/>
      <c r="E57" s="13" t="s">
        <v>88</v>
      </c>
      <c r="F57" s="20">
        <v>1</v>
      </c>
      <c r="G57" s="13" t="s">
        <v>96</v>
      </c>
      <c r="H57" s="13"/>
      <c r="I57" s="29">
        <f t="shared" si="1"/>
        <v>0.08</v>
      </c>
      <c r="J57" s="30">
        <v>4.8</v>
      </c>
    </row>
    <row r="58" spans="1:10" x14ac:dyDescent="0.3">
      <c r="A58" s="2" t="s">
        <v>24</v>
      </c>
      <c r="B58" s="6" t="s">
        <v>66</v>
      </c>
      <c r="C58" s="13" t="s">
        <v>86</v>
      </c>
      <c r="D58" s="41"/>
      <c r="E58" s="13" t="s">
        <v>88</v>
      </c>
      <c r="F58" s="20">
        <v>1</v>
      </c>
      <c r="G58" s="13" t="s">
        <v>96</v>
      </c>
      <c r="H58" s="13"/>
      <c r="I58" s="29">
        <f t="shared" si="1"/>
        <v>0.18000000000000002</v>
      </c>
      <c r="J58" s="30">
        <v>10.8</v>
      </c>
    </row>
    <row r="59" spans="1:10" x14ac:dyDescent="0.3">
      <c r="A59" s="2" t="s">
        <v>26</v>
      </c>
      <c r="B59" s="6" t="s">
        <v>66</v>
      </c>
      <c r="C59" s="13" t="s">
        <v>86</v>
      </c>
      <c r="D59" s="41"/>
      <c r="E59" s="13" t="s">
        <v>88</v>
      </c>
      <c r="F59" s="20">
        <v>1</v>
      </c>
      <c r="G59" s="13" t="s">
        <v>100</v>
      </c>
      <c r="H59" s="13"/>
      <c r="I59" s="29">
        <f t="shared" si="1"/>
        <v>0.10391666666666666</v>
      </c>
      <c r="J59" s="32">
        <v>6.2349999999999994</v>
      </c>
    </row>
    <row r="60" spans="1:10" x14ac:dyDescent="0.3">
      <c r="A60" s="2" t="s">
        <v>80</v>
      </c>
      <c r="B60" s="6" t="s">
        <v>66</v>
      </c>
      <c r="C60" s="13" t="s">
        <v>86</v>
      </c>
      <c r="D60" s="41"/>
      <c r="E60" s="13" t="s">
        <v>88</v>
      </c>
      <c r="F60" s="20">
        <v>1</v>
      </c>
      <c r="G60" s="13" t="s">
        <v>97</v>
      </c>
      <c r="H60" s="13"/>
      <c r="I60" s="29">
        <f t="shared" si="1"/>
        <v>8.3333333333333332E-3</v>
      </c>
      <c r="J60" s="32">
        <v>0.5</v>
      </c>
    </row>
    <row r="61" spans="1:10" x14ac:dyDescent="0.3">
      <c r="A61" s="2" t="s">
        <v>54</v>
      </c>
      <c r="B61" s="6" t="s">
        <v>66</v>
      </c>
      <c r="C61" s="13" t="s">
        <v>86</v>
      </c>
      <c r="D61" s="41"/>
      <c r="E61" s="13" t="s">
        <v>91</v>
      </c>
      <c r="F61" s="20">
        <v>1</v>
      </c>
      <c r="G61" s="13" t="s">
        <v>96</v>
      </c>
      <c r="H61" s="13"/>
      <c r="I61" s="29">
        <f t="shared" si="1"/>
        <v>0.3175</v>
      </c>
      <c r="J61" s="30">
        <v>19.05</v>
      </c>
    </row>
    <row r="62" spans="1:10" x14ac:dyDescent="0.3">
      <c r="A62" s="2" t="s">
        <v>29</v>
      </c>
      <c r="B62" s="6" t="s">
        <v>66</v>
      </c>
      <c r="C62" s="13" t="s">
        <v>86</v>
      </c>
      <c r="D62" s="41"/>
      <c r="E62" s="13" t="s">
        <v>91</v>
      </c>
      <c r="F62" s="20">
        <v>1</v>
      </c>
      <c r="G62" s="6" t="s">
        <v>97</v>
      </c>
      <c r="H62" s="13"/>
      <c r="I62" s="29">
        <f t="shared" si="1"/>
        <v>1.6666666666666666E-2</v>
      </c>
      <c r="J62" s="33">
        <v>1</v>
      </c>
    </row>
    <row r="63" spans="1:10" x14ac:dyDescent="0.3">
      <c r="A63" s="2" t="s">
        <v>25</v>
      </c>
      <c r="B63" s="6" t="s">
        <v>66</v>
      </c>
      <c r="C63" s="13" t="s">
        <v>86</v>
      </c>
      <c r="D63" s="41"/>
      <c r="E63" s="13" t="s">
        <v>91</v>
      </c>
      <c r="F63" s="20">
        <v>1</v>
      </c>
      <c r="G63" s="13" t="s">
        <v>97</v>
      </c>
      <c r="H63" s="13"/>
      <c r="I63" s="29">
        <f t="shared" si="1"/>
        <v>9.5238095238095219E-2</v>
      </c>
      <c r="J63" s="30">
        <v>5.7142857142857135</v>
      </c>
    </row>
    <row r="64" spans="1:10" x14ac:dyDescent="0.3">
      <c r="A64" s="2" t="s">
        <v>31</v>
      </c>
      <c r="B64" s="6" t="s">
        <v>66</v>
      </c>
      <c r="C64" s="13" t="s">
        <v>86</v>
      </c>
      <c r="D64" s="41"/>
      <c r="E64" s="13" t="s">
        <v>91</v>
      </c>
      <c r="F64" s="20">
        <v>1</v>
      </c>
      <c r="G64" s="13" t="s">
        <v>100</v>
      </c>
      <c r="H64" s="13"/>
      <c r="I64" s="29">
        <f t="shared" si="1"/>
        <v>1.6666666666666666E-2</v>
      </c>
      <c r="J64" s="32">
        <v>1</v>
      </c>
    </row>
    <row r="65" spans="1:10" x14ac:dyDescent="0.3">
      <c r="A65" s="2" t="s">
        <v>32</v>
      </c>
      <c r="B65" s="6" t="s">
        <v>66</v>
      </c>
      <c r="C65" s="13" t="s">
        <v>86</v>
      </c>
      <c r="D65" s="41"/>
      <c r="E65" s="13" t="s">
        <v>91</v>
      </c>
      <c r="F65" s="20">
        <v>1</v>
      </c>
      <c r="G65" s="13" t="s">
        <v>96</v>
      </c>
      <c r="H65" s="13"/>
      <c r="I65" s="29">
        <f t="shared" si="1"/>
        <v>0.17857142857142858</v>
      </c>
      <c r="J65" s="30">
        <v>10.714285714285715</v>
      </c>
    </row>
    <row r="66" spans="1:10" x14ac:dyDescent="0.3">
      <c r="A66" s="2" t="s">
        <v>30</v>
      </c>
      <c r="B66" s="6" t="s">
        <v>66</v>
      </c>
      <c r="C66" s="13" t="s">
        <v>86</v>
      </c>
      <c r="D66" s="41"/>
      <c r="E66" s="13" t="s">
        <v>91</v>
      </c>
      <c r="F66" s="20">
        <v>1</v>
      </c>
      <c r="G66" s="13" t="s">
        <v>96</v>
      </c>
      <c r="H66" s="13"/>
      <c r="I66" s="29">
        <f t="shared" si="1"/>
        <v>9.6438746438746434E-2</v>
      </c>
      <c r="J66" s="30">
        <v>5.7863247863247862</v>
      </c>
    </row>
    <row r="67" spans="1:10" x14ac:dyDescent="0.3">
      <c r="A67" s="2" t="s">
        <v>76</v>
      </c>
      <c r="B67" s="6" t="s">
        <v>66</v>
      </c>
      <c r="C67" s="13" t="s">
        <v>86</v>
      </c>
      <c r="D67" s="41"/>
      <c r="E67" s="13" t="s">
        <v>91</v>
      </c>
      <c r="F67" s="20">
        <v>1</v>
      </c>
      <c r="G67" s="13" t="s">
        <v>96</v>
      </c>
      <c r="H67" s="13"/>
      <c r="I67" s="29">
        <f t="shared" si="1"/>
        <v>8.4444444444444447E-2</v>
      </c>
      <c r="J67" s="30">
        <v>5.0666666666666664</v>
      </c>
    </row>
    <row r="68" spans="1:10" x14ac:dyDescent="0.3">
      <c r="A68" s="2" t="s">
        <v>77</v>
      </c>
      <c r="B68" s="6" t="s">
        <v>66</v>
      </c>
      <c r="C68" s="13" t="s">
        <v>86</v>
      </c>
      <c r="D68" s="41"/>
      <c r="E68" s="13" t="s">
        <v>88</v>
      </c>
      <c r="F68" s="20">
        <v>1</v>
      </c>
      <c r="G68" s="13" t="s">
        <v>96</v>
      </c>
      <c r="H68" s="13"/>
      <c r="I68" s="29">
        <f t="shared" si="1"/>
        <v>0.34628787878787876</v>
      </c>
      <c r="J68" s="30">
        <v>20.777272727272724</v>
      </c>
    </row>
    <row r="69" spans="1:10" x14ac:dyDescent="0.3">
      <c r="A69" s="2" t="s">
        <v>33</v>
      </c>
      <c r="B69" s="7" t="s">
        <v>63</v>
      </c>
      <c r="C69" s="13" t="s">
        <v>85</v>
      </c>
      <c r="D69" s="41"/>
      <c r="E69" s="13" t="s">
        <v>91</v>
      </c>
      <c r="F69" s="22">
        <v>1</v>
      </c>
      <c r="G69" s="28" t="s">
        <v>96</v>
      </c>
      <c r="H69" s="13" t="s">
        <v>98</v>
      </c>
      <c r="I69" s="29"/>
      <c r="J69" s="30"/>
    </row>
    <row r="70" spans="1:10" x14ac:dyDescent="0.3">
      <c r="A70" s="2" t="s">
        <v>21</v>
      </c>
      <c r="B70" s="6" t="s">
        <v>68</v>
      </c>
      <c r="C70" s="13" t="s">
        <v>22</v>
      </c>
      <c r="D70" s="41"/>
      <c r="E70" s="13" t="s">
        <v>91</v>
      </c>
      <c r="F70" s="20">
        <v>1</v>
      </c>
      <c r="G70" s="13" t="s">
        <v>106</v>
      </c>
      <c r="H70" s="13"/>
      <c r="I70" s="29">
        <f t="shared" ref="I70:I98" si="2">+J70/60</f>
        <v>3.3333333333333333E-2</v>
      </c>
      <c r="J70" s="33">
        <v>2</v>
      </c>
    </row>
    <row r="71" spans="1:10" x14ac:dyDescent="0.3">
      <c r="A71" s="2" t="s">
        <v>78</v>
      </c>
      <c r="B71" s="6" t="s">
        <v>69</v>
      </c>
      <c r="C71" s="13" t="s">
        <v>18</v>
      </c>
      <c r="D71" s="41"/>
      <c r="E71" s="13" t="s">
        <v>91</v>
      </c>
      <c r="F71" s="20">
        <v>1</v>
      </c>
      <c r="G71" s="13" t="s">
        <v>98</v>
      </c>
      <c r="H71" s="13"/>
      <c r="I71" s="29">
        <f t="shared" si="2"/>
        <v>2.0299999999999998</v>
      </c>
      <c r="J71" s="30">
        <v>121.79999999999998</v>
      </c>
    </row>
    <row r="72" spans="1:10" x14ac:dyDescent="0.3">
      <c r="A72" s="2" t="s">
        <v>79</v>
      </c>
      <c r="B72" s="6" t="s">
        <v>69</v>
      </c>
      <c r="C72" s="13" t="s">
        <v>18</v>
      </c>
      <c r="D72" s="41"/>
      <c r="E72" s="13" t="s">
        <v>91</v>
      </c>
      <c r="F72" s="20">
        <v>1</v>
      </c>
      <c r="G72" s="13" t="s">
        <v>98</v>
      </c>
      <c r="H72" s="13"/>
      <c r="I72" s="29">
        <f t="shared" si="2"/>
        <v>2.0299999999999998</v>
      </c>
      <c r="J72" s="30">
        <v>121.79999999999998</v>
      </c>
    </row>
    <row r="73" spans="1:10" x14ac:dyDescent="0.3">
      <c r="A73" s="2" t="s">
        <v>16</v>
      </c>
      <c r="B73" s="6" t="s">
        <v>15</v>
      </c>
      <c r="C73" s="13" t="s">
        <v>86</v>
      </c>
      <c r="D73" s="41"/>
      <c r="E73" s="13" t="s">
        <v>94</v>
      </c>
      <c r="F73" s="22">
        <v>1</v>
      </c>
      <c r="G73" s="6" t="s">
        <v>97</v>
      </c>
      <c r="H73" s="13"/>
      <c r="I73" s="29">
        <f t="shared" si="2"/>
        <v>8.3333333333333329E-2</v>
      </c>
      <c r="J73" s="31">
        <v>5</v>
      </c>
    </row>
    <row r="74" spans="1:10" x14ac:dyDescent="0.3">
      <c r="A74" s="2" t="s">
        <v>17</v>
      </c>
      <c r="B74" s="7" t="s">
        <v>63</v>
      </c>
      <c r="C74" s="13" t="s">
        <v>18</v>
      </c>
      <c r="D74" s="41" t="s">
        <v>103</v>
      </c>
      <c r="E74" s="13" t="s">
        <v>91</v>
      </c>
      <c r="F74" s="20">
        <v>1</v>
      </c>
      <c r="G74" s="13" t="s">
        <v>98</v>
      </c>
      <c r="H74" s="13"/>
      <c r="I74" s="29">
        <f t="shared" si="2"/>
        <v>1.4000000000000001</v>
      </c>
      <c r="J74" s="30">
        <v>84.000000000000014</v>
      </c>
    </row>
    <row r="75" spans="1:10" x14ac:dyDescent="0.3">
      <c r="A75" s="2" t="s">
        <v>19</v>
      </c>
      <c r="B75" s="6" t="s">
        <v>15</v>
      </c>
      <c r="C75" s="13" t="s">
        <v>86</v>
      </c>
      <c r="D75" s="41"/>
      <c r="E75" s="13" t="s">
        <v>94</v>
      </c>
      <c r="F75" s="22">
        <v>1</v>
      </c>
      <c r="G75" s="6" t="s">
        <v>97</v>
      </c>
      <c r="H75" s="13"/>
      <c r="I75" s="29">
        <f t="shared" si="2"/>
        <v>6.6666666666666666E-2</v>
      </c>
      <c r="J75" s="31">
        <v>4</v>
      </c>
    </row>
    <row r="76" spans="1:10" x14ac:dyDescent="0.3">
      <c r="A76" s="2" t="s">
        <v>20</v>
      </c>
      <c r="B76" s="6" t="s">
        <v>15</v>
      </c>
      <c r="C76" s="13" t="s">
        <v>86</v>
      </c>
      <c r="D76" s="41"/>
      <c r="E76" s="13" t="s">
        <v>94</v>
      </c>
      <c r="F76" s="22">
        <v>0.6</v>
      </c>
      <c r="G76" s="28" t="s">
        <v>97</v>
      </c>
      <c r="H76" s="13"/>
      <c r="I76" s="29">
        <f t="shared" si="2"/>
        <v>5.6060606060606061E-2</v>
      </c>
      <c r="J76" s="31">
        <v>3.3636363636363638</v>
      </c>
    </row>
    <row r="77" spans="1:10" x14ac:dyDescent="0.3">
      <c r="A77" s="2" t="s">
        <v>23</v>
      </c>
      <c r="B77" s="6" t="s">
        <v>15</v>
      </c>
      <c r="C77" s="13" t="s">
        <v>86</v>
      </c>
      <c r="D77" s="41"/>
      <c r="E77" s="13" t="s">
        <v>90</v>
      </c>
      <c r="F77" s="22">
        <v>0.6</v>
      </c>
      <c r="G77" s="28" t="s">
        <v>96</v>
      </c>
      <c r="H77" s="13"/>
      <c r="I77" s="29">
        <f t="shared" si="2"/>
        <v>0.08</v>
      </c>
      <c r="J77" s="31">
        <v>4.8</v>
      </c>
    </row>
    <row r="78" spans="1:10" x14ac:dyDescent="0.3">
      <c r="A78" s="2" t="s">
        <v>24</v>
      </c>
      <c r="B78" s="6" t="s">
        <v>15</v>
      </c>
      <c r="C78" s="13" t="s">
        <v>86</v>
      </c>
      <c r="D78" s="41"/>
      <c r="E78" s="13" t="s">
        <v>90</v>
      </c>
      <c r="F78" s="22">
        <v>0.6</v>
      </c>
      <c r="G78" s="28" t="s">
        <v>96</v>
      </c>
      <c r="H78" s="13"/>
      <c r="I78" s="29">
        <f t="shared" si="2"/>
        <v>0.18000000000000002</v>
      </c>
      <c r="J78" s="31">
        <v>10.8</v>
      </c>
    </row>
    <row r="79" spans="1:10" x14ac:dyDescent="0.3">
      <c r="A79" s="2" t="s">
        <v>26</v>
      </c>
      <c r="B79" s="6" t="s">
        <v>15</v>
      </c>
      <c r="C79" s="13" t="s">
        <v>86</v>
      </c>
      <c r="D79" s="41"/>
      <c r="E79" s="13" t="s">
        <v>90</v>
      </c>
      <c r="F79" s="22">
        <v>0.6</v>
      </c>
      <c r="G79" s="13" t="s">
        <v>97</v>
      </c>
      <c r="H79" s="13"/>
      <c r="I79" s="29">
        <f t="shared" si="2"/>
        <v>0.10391666666666666</v>
      </c>
      <c r="J79" s="31">
        <v>6.2349999999999994</v>
      </c>
    </row>
    <row r="80" spans="1:10" x14ac:dyDescent="0.3">
      <c r="A80" s="2" t="s">
        <v>27</v>
      </c>
      <c r="B80" s="6" t="s">
        <v>15</v>
      </c>
      <c r="C80" s="13" t="s">
        <v>86</v>
      </c>
      <c r="D80" s="41"/>
      <c r="E80" s="13" t="s">
        <v>94</v>
      </c>
      <c r="F80" s="22">
        <v>1</v>
      </c>
      <c r="G80" s="13" t="s">
        <v>97</v>
      </c>
      <c r="H80" s="13"/>
      <c r="I80" s="29">
        <f t="shared" si="2"/>
        <v>8.3333333333333332E-3</v>
      </c>
      <c r="J80" s="31">
        <v>0.5</v>
      </c>
    </row>
    <row r="81" spans="1:10" x14ac:dyDescent="0.3">
      <c r="A81" s="2" t="s">
        <v>55</v>
      </c>
      <c r="B81" s="6" t="s">
        <v>15</v>
      </c>
      <c r="C81" s="13" t="s">
        <v>86</v>
      </c>
      <c r="D81" s="41"/>
      <c r="E81" s="13" t="s">
        <v>94</v>
      </c>
      <c r="F81" s="22">
        <v>1</v>
      </c>
      <c r="G81" s="28" t="s">
        <v>96</v>
      </c>
      <c r="H81" s="13"/>
      <c r="I81" s="29">
        <f t="shared" si="2"/>
        <v>0.05</v>
      </c>
      <c r="J81" s="31">
        <v>3</v>
      </c>
    </row>
    <row r="82" spans="1:10" x14ac:dyDescent="0.3">
      <c r="A82" s="2" t="s">
        <v>54</v>
      </c>
      <c r="B82" s="6" t="s">
        <v>15</v>
      </c>
      <c r="C82" s="13" t="s">
        <v>86</v>
      </c>
      <c r="D82" s="41"/>
      <c r="E82" s="13" t="s">
        <v>94</v>
      </c>
      <c r="F82" s="22">
        <v>1</v>
      </c>
      <c r="G82" s="28" t="s">
        <v>96</v>
      </c>
      <c r="H82" s="13"/>
      <c r="I82" s="29">
        <f t="shared" si="2"/>
        <v>0.3175</v>
      </c>
      <c r="J82" s="31">
        <v>19.05</v>
      </c>
    </row>
    <row r="83" spans="1:10" x14ac:dyDescent="0.3">
      <c r="A83" s="2" t="s">
        <v>81</v>
      </c>
      <c r="B83" s="6" t="s">
        <v>15</v>
      </c>
      <c r="C83" s="13" t="s">
        <v>86</v>
      </c>
      <c r="D83" s="41"/>
      <c r="E83" s="13" t="s">
        <v>94</v>
      </c>
      <c r="F83" s="22">
        <v>1</v>
      </c>
      <c r="G83" s="28" t="s">
        <v>96</v>
      </c>
      <c r="H83" s="13"/>
      <c r="I83" s="29">
        <f t="shared" si="2"/>
        <v>0.48888888888888887</v>
      </c>
      <c r="J83" s="31">
        <v>29.333333333333332</v>
      </c>
    </row>
    <row r="84" spans="1:10" x14ac:dyDescent="0.3">
      <c r="A84" s="2" t="s">
        <v>28</v>
      </c>
      <c r="B84" s="6" t="s">
        <v>15</v>
      </c>
      <c r="C84" s="13" t="s">
        <v>86</v>
      </c>
      <c r="D84" s="41"/>
      <c r="E84" s="13" t="s">
        <v>94</v>
      </c>
      <c r="F84" s="22">
        <v>1</v>
      </c>
      <c r="G84" s="28" t="s">
        <v>96</v>
      </c>
      <c r="H84" s="13"/>
      <c r="I84" s="29">
        <f t="shared" si="2"/>
        <v>8.6956521739130432E-2</v>
      </c>
      <c r="J84" s="31">
        <v>5.2173913043478262</v>
      </c>
    </row>
    <row r="85" spans="1:10" x14ac:dyDescent="0.3">
      <c r="A85" s="2" t="s">
        <v>29</v>
      </c>
      <c r="B85" s="6" t="s">
        <v>15</v>
      </c>
      <c r="C85" s="13" t="s">
        <v>86</v>
      </c>
      <c r="D85" s="41"/>
      <c r="E85" s="13" t="s">
        <v>94</v>
      </c>
      <c r="F85" s="22">
        <v>1</v>
      </c>
      <c r="G85" s="28" t="s">
        <v>96</v>
      </c>
      <c r="H85" s="13"/>
      <c r="I85" s="29">
        <f t="shared" si="2"/>
        <v>9.5238095238095219E-2</v>
      </c>
      <c r="J85" s="31">
        <v>5.7142857142857135</v>
      </c>
    </row>
    <row r="86" spans="1:10" x14ac:dyDescent="0.3">
      <c r="A86" s="2" t="s">
        <v>25</v>
      </c>
      <c r="B86" s="6" t="s">
        <v>15</v>
      </c>
      <c r="C86" s="13" t="s">
        <v>86</v>
      </c>
      <c r="D86" s="41"/>
      <c r="E86" s="13" t="s">
        <v>94</v>
      </c>
      <c r="F86" s="22">
        <v>0.4</v>
      </c>
      <c r="G86" s="13" t="s">
        <v>97</v>
      </c>
      <c r="H86" s="13"/>
      <c r="I86" s="29">
        <f t="shared" si="2"/>
        <v>9.5238095238095219E-2</v>
      </c>
      <c r="J86" s="31">
        <v>5.7142857142857135</v>
      </c>
    </row>
    <row r="87" spans="1:10" x14ac:dyDescent="0.3">
      <c r="A87" s="2" t="s">
        <v>25</v>
      </c>
      <c r="B87" s="6" t="s">
        <v>15</v>
      </c>
      <c r="C87" s="13" t="s">
        <v>86</v>
      </c>
      <c r="D87" s="41"/>
      <c r="E87" s="13" t="s">
        <v>90</v>
      </c>
      <c r="F87" s="22">
        <v>0.6</v>
      </c>
      <c r="G87" s="13" t="s">
        <v>97</v>
      </c>
      <c r="H87" s="13"/>
      <c r="I87" s="29">
        <f t="shared" si="2"/>
        <v>9.5238095238095219E-2</v>
      </c>
      <c r="J87" s="31">
        <v>5.7142857142857135</v>
      </c>
    </row>
    <row r="88" spans="1:10" x14ac:dyDescent="0.3">
      <c r="A88" s="2" t="s">
        <v>31</v>
      </c>
      <c r="B88" s="6" t="s">
        <v>15</v>
      </c>
      <c r="C88" s="13" t="s">
        <v>86</v>
      </c>
      <c r="D88" s="41"/>
      <c r="E88" s="13" t="s">
        <v>94</v>
      </c>
      <c r="F88" s="22">
        <v>1</v>
      </c>
      <c r="G88" s="6" t="s">
        <v>97</v>
      </c>
      <c r="H88" s="13"/>
      <c r="I88" s="29">
        <f t="shared" si="2"/>
        <v>1.6666666666666666E-2</v>
      </c>
      <c r="J88" s="31">
        <v>1</v>
      </c>
    </row>
    <row r="89" spans="1:10" x14ac:dyDescent="0.3">
      <c r="A89" s="2" t="s">
        <v>32</v>
      </c>
      <c r="B89" s="6" t="s">
        <v>15</v>
      </c>
      <c r="C89" s="13" t="s">
        <v>86</v>
      </c>
      <c r="D89" s="41"/>
      <c r="E89" s="13" t="s">
        <v>94</v>
      </c>
      <c r="F89" s="22">
        <v>1</v>
      </c>
      <c r="G89" s="28" t="s">
        <v>96</v>
      </c>
      <c r="H89" s="13"/>
      <c r="I89" s="29">
        <f t="shared" si="2"/>
        <v>0.17857142857142858</v>
      </c>
      <c r="J89" s="31">
        <v>10.714285714285715</v>
      </c>
    </row>
    <row r="90" spans="1:10" x14ac:dyDescent="0.3">
      <c r="A90" s="2" t="s">
        <v>30</v>
      </c>
      <c r="B90" s="6" t="s">
        <v>15</v>
      </c>
      <c r="C90" s="13" t="s">
        <v>86</v>
      </c>
      <c r="D90" s="41"/>
      <c r="E90" s="13" t="s">
        <v>94</v>
      </c>
      <c r="F90" s="22">
        <v>1</v>
      </c>
      <c r="G90" s="28" t="s">
        <v>96</v>
      </c>
      <c r="H90" s="13"/>
      <c r="I90" s="29">
        <f t="shared" si="2"/>
        <v>9.6438746438746434E-2</v>
      </c>
      <c r="J90" s="31">
        <v>5.7863247863247862</v>
      </c>
    </row>
    <row r="91" spans="1:10" x14ac:dyDescent="0.3">
      <c r="A91" s="2" t="s">
        <v>76</v>
      </c>
      <c r="B91" s="6" t="s">
        <v>15</v>
      </c>
      <c r="C91" s="13" t="s">
        <v>86</v>
      </c>
      <c r="D91" s="41"/>
      <c r="E91" s="13" t="s">
        <v>94</v>
      </c>
      <c r="F91" s="22">
        <v>1</v>
      </c>
      <c r="G91" s="28" t="s">
        <v>96</v>
      </c>
      <c r="H91" s="13"/>
      <c r="I91" s="29">
        <f t="shared" si="2"/>
        <v>8.4444444444444447E-2</v>
      </c>
      <c r="J91" s="31">
        <v>5.0666666666666664</v>
      </c>
    </row>
    <row r="92" spans="1:10" x14ac:dyDescent="0.3">
      <c r="A92" s="2" t="s">
        <v>77</v>
      </c>
      <c r="B92" s="6" t="s">
        <v>15</v>
      </c>
      <c r="C92" s="13" t="s">
        <v>86</v>
      </c>
      <c r="D92" s="41"/>
      <c r="E92" s="13" t="s">
        <v>94</v>
      </c>
      <c r="F92" s="22">
        <v>0.4</v>
      </c>
      <c r="G92" s="28" t="s">
        <v>96</v>
      </c>
      <c r="H92" s="13"/>
      <c r="I92" s="29">
        <f t="shared" si="2"/>
        <v>0.34628787878787876</v>
      </c>
      <c r="J92" s="31">
        <v>20.777272727272724</v>
      </c>
    </row>
    <row r="93" spans="1:10" x14ac:dyDescent="0.3">
      <c r="A93" s="2" t="s">
        <v>77</v>
      </c>
      <c r="B93" s="6" t="s">
        <v>15</v>
      </c>
      <c r="C93" s="13" t="s">
        <v>86</v>
      </c>
      <c r="D93" s="41"/>
      <c r="E93" s="13" t="s">
        <v>90</v>
      </c>
      <c r="F93" s="22">
        <v>0.6</v>
      </c>
      <c r="G93" s="28" t="s">
        <v>96</v>
      </c>
      <c r="H93" s="13"/>
      <c r="I93" s="29">
        <f t="shared" si="2"/>
        <v>0.34628787878787876</v>
      </c>
      <c r="J93" s="31">
        <v>20.777272727272724</v>
      </c>
    </row>
    <row r="94" spans="1:10" x14ac:dyDescent="0.3">
      <c r="A94" s="2" t="s">
        <v>56</v>
      </c>
      <c r="B94" s="6" t="s">
        <v>15</v>
      </c>
      <c r="C94" s="13" t="s">
        <v>87</v>
      </c>
      <c r="D94" s="41"/>
      <c r="E94" s="13" t="s">
        <v>94</v>
      </c>
      <c r="F94" s="22">
        <v>1</v>
      </c>
      <c r="G94" s="13" t="s">
        <v>99</v>
      </c>
      <c r="H94" s="13"/>
      <c r="I94" s="29">
        <f t="shared" si="2"/>
        <v>8.3333333333333332E-3</v>
      </c>
      <c r="J94" s="31">
        <v>0.5</v>
      </c>
    </row>
    <row r="95" spans="1:10" x14ac:dyDescent="0.3">
      <c r="A95" s="2" t="s">
        <v>82</v>
      </c>
      <c r="B95" s="6" t="s">
        <v>15</v>
      </c>
      <c r="C95" s="13" t="s">
        <v>87</v>
      </c>
      <c r="D95" s="41"/>
      <c r="E95" s="13" t="s">
        <v>94</v>
      </c>
      <c r="F95" s="22">
        <v>1</v>
      </c>
      <c r="G95" s="13" t="s">
        <v>99</v>
      </c>
      <c r="H95" s="13"/>
      <c r="I95" s="29">
        <f t="shared" si="2"/>
        <v>8.3333333333333332E-3</v>
      </c>
      <c r="J95" s="31">
        <v>0.5</v>
      </c>
    </row>
    <row r="96" spans="1:10" x14ac:dyDescent="0.3">
      <c r="A96" s="2" t="s">
        <v>57</v>
      </c>
      <c r="B96" s="6" t="s">
        <v>15</v>
      </c>
      <c r="C96" s="13" t="s">
        <v>87</v>
      </c>
      <c r="D96" s="41"/>
      <c r="E96" s="13" t="s">
        <v>94</v>
      </c>
      <c r="F96" s="22">
        <v>1</v>
      </c>
      <c r="G96" s="13" t="s">
        <v>99</v>
      </c>
      <c r="H96" s="13"/>
      <c r="I96" s="29">
        <f t="shared" si="2"/>
        <v>8.3333333333333332E-3</v>
      </c>
      <c r="J96" s="31">
        <v>0.5</v>
      </c>
    </row>
    <row r="97" spans="1:10" x14ac:dyDescent="0.3">
      <c r="A97" s="2" t="s">
        <v>33</v>
      </c>
      <c r="B97" s="6" t="s">
        <v>62</v>
      </c>
      <c r="C97" s="13" t="s">
        <v>18</v>
      </c>
      <c r="D97" s="41"/>
      <c r="E97" s="13" t="s">
        <v>94</v>
      </c>
      <c r="F97" s="22">
        <v>1</v>
      </c>
      <c r="G97" s="28" t="s">
        <v>96</v>
      </c>
      <c r="H97" s="13" t="s">
        <v>98</v>
      </c>
      <c r="I97" s="29">
        <f t="shared" si="2"/>
        <v>0.05</v>
      </c>
      <c r="J97" s="31">
        <v>3</v>
      </c>
    </row>
    <row r="98" spans="1:10" x14ac:dyDescent="0.3">
      <c r="A98" s="2" t="s">
        <v>78</v>
      </c>
      <c r="B98" s="6" t="s">
        <v>70</v>
      </c>
      <c r="C98" s="13" t="s">
        <v>18</v>
      </c>
      <c r="D98" s="41" t="s">
        <v>101</v>
      </c>
      <c r="E98" s="13" t="s">
        <v>94</v>
      </c>
      <c r="F98" s="22">
        <v>1</v>
      </c>
      <c r="G98" s="28" t="s">
        <v>98</v>
      </c>
      <c r="H98" s="13"/>
      <c r="I98" s="29">
        <f t="shared" si="2"/>
        <v>2.0299999999999998</v>
      </c>
      <c r="J98" s="31">
        <v>121.79999999999998</v>
      </c>
    </row>
    <row r="99" spans="1:10" x14ac:dyDescent="0.3">
      <c r="A99" s="5" t="s">
        <v>79</v>
      </c>
      <c r="B99" s="6" t="s">
        <v>70</v>
      </c>
      <c r="C99" s="16" t="s">
        <v>18</v>
      </c>
      <c r="D99" s="41" t="s">
        <v>102</v>
      </c>
      <c r="E99" s="16" t="s">
        <v>94</v>
      </c>
      <c r="F99" s="27">
        <v>1</v>
      </c>
      <c r="G99" s="9" t="s">
        <v>98</v>
      </c>
      <c r="H99" s="16"/>
      <c r="I99" s="37">
        <f>J99/60</f>
        <v>4.0599999999999996</v>
      </c>
      <c r="J99" s="38">
        <v>243.6</v>
      </c>
    </row>
    <row r="100" spans="1:10" x14ac:dyDescent="0.3">
      <c r="A100" s="2" t="s">
        <v>34</v>
      </c>
      <c r="B100" s="6" t="s">
        <v>62</v>
      </c>
      <c r="C100" s="13" t="s">
        <v>18</v>
      </c>
      <c r="D100" s="41" t="s">
        <v>103</v>
      </c>
      <c r="E100" s="13" t="s">
        <v>94</v>
      </c>
      <c r="F100" s="22">
        <v>1</v>
      </c>
      <c r="G100" s="28" t="s">
        <v>98</v>
      </c>
      <c r="H100" s="13"/>
      <c r="I100" s="29">
        <f>+J100/60</f>
        <v>3.3611111111111103</v>
      </c>
      <c r="J100" s="31">
        <v>201.66666666666663</v>
      </c>
    </row>
    <row r="101" spans="1:10" x14ac:dyDescent="0.3">
      <c r="A101" s="2" t="s">
        <v>58</v>
      </c>
      <c r="B101" s="6" t="s">
        <v>69</v>
      </c>
      <c r="C101" s="13" t="s">
        <v>18</v>
      </c>
      <c r="D101" s="41"/>
      <c r="E101" s="13" t="s">
        <v>91</v>
      </c>
      <c r="F101" s="22">
        <v>1</v>
      </c>
      <c r="G101" s="28" t="s">
        <v>96</v>
      </c>
      <c r="H101" s="13" t="s">
        <v>98</v>
      </c>
      <c r="I101" s="39"/>
      <c r="J101" s="31"/>
    </row>
    <row r="102" spans="1:10" x14ac:dyDescent="0.3">
      <c r="A102" s="2" t="s">
        <v>58</v>
      </c>
      <c r="B102" s="6" t="s">
        <v>70</v>
      </c>
      <c r="C102" s="13" t="s">
        <v>18</v>
      </c>
      <c r="D102" s="41"/>
      <c r="E102" s="13" t="s">
        <v>94</v>
      </c>
      <c r="F102" s="22">
        <v>1</v>
      </c>
      <c r="G102" s="28" t="s">
        <v>96</v>
      </c>
      <c r="H102" s="13" t="s">
        <v>98</v>
      </c>
      <c r="I102" s="39">
        <f>+J102/60</f>
        <v>3.842857142857143E-2</v>
      </c>
      <c r="J102" s="31">
        <v>2.3057142857142856</v>
      </c>
    </row>
    <row r="103" spans="1:10" x14ac:dyDescent="0.3">
      <c r="A103" s="2" t="s">
        <v>14</v>
      </c>
      <c r="B103" s="6" t="s">
        <v>62</v>
      </c>
      <c r="C103" s="13" t="s">
        <v>18</v>
      </c>
      <c r="D103" s="41" t="s">
        <v>103</v>
      </c>
      <c r="E103" s="13" t="s">
        <v>89</v>
      </c>
      <c r="F103" s="22">
        <v>1</v>
      </c>
      <c r="G103" s="6" t="s">
        <v>99</v>
      </c>
      <c r="H103" s="13" t="s">
        <v>98</v>
      </c>
      <c r="I103" s="40">
        <f>+J103/60</f>
        <v>0.16160909090909092</v>
      </c>
      <c r="J103" s="31">
        <v>9.6965454545454559</v>
      </c>
    </row>
  </sheetData>
  <autoFilter ref="A1:J103" xr:uid="{00000000-0001-0000-0000-000000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Salima Agourram</cp:lastModifiedBy>
  <dcterms:created xsi:type="dcterms:W3CDTF">2026-02-19T14:14:20Z</dcterms:created>
  <dcterms:modified xsi:type="dcterms:W3CDTF">2026-02-20T10:29:48Z</dcterms:modified>
</cp:coreProperties>
</file>